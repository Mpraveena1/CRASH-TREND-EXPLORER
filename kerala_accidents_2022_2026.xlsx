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mc:AlternateContent xmlns:mc="http://schemas.openxmlformats.org/markup-compatibility/2006">
    <mc:Choice Requires="x15">
      <x15ac:absPath xmlns:x15ac="http://schemas.microsoft.com/office/spreadsheetml/2010/11/ac" url="/Users/praveena.m/Downloads/"/>
    </mc:Choice>
  </mc:AlternateContent>
  <xr:revisionPtr revIDLastSave="0" documentId="13_ncr:1_{5E8DD939-141F-C44A-9F09-42F910E4170D}" xr6:coauthVersionLast="47" xr6:coauthVersionMax="47" xr10:uidLastSave="{00000000-0000-0000-0000-000000000000}"/>
  <bookViews>
    <workbookView xWindow="0" yWindow="660" windowWidth="29400" windowHeight="18460" activeTab="2" xr2:uid="{00000000-000D-0000-FFFF-FFFF00000000}"/>
  </bookViews>
  <sheets>
    <sheet name="Kerala_Accidents_2022_2026" sheetId="1" r:id="rId1"/>
    <sheet name="analysing" sheetId="2" r:id="rId2"/>
    <sheet name="dashboard" sheetId="3" r:id="rId3"/>
  </sheets>
  <definedNames>
    <definedName name="Slicer_district2">#N/A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2" i="1"/>
</calcChain>
</file>

<file path=xl/sharedStrings.xml><?xml version="1.0" encoding="utf-8"?>
<sst xmlns="http://schemas.openxmlformats.org/spreadsheetml/2006/main" count="3752" uniqueCount="864">
  <si>
    <t>Year</t>
  </si>
  <si>
    <t>City</t>
  </si>
  <si>
    <t>Area_Type</t>
  </si>
  <si>
    <t>Accident_ID</t>
  </si>
  <si>
    <t>Date</t>
  </si>
  <si>
    <t>Time</t>
  </si>
  <si>
    <t>Vehicle_Type</t>
  </si>
  <si>
    <t>Weather</t>
  </si>
  <si>
    <t>Road_Condition</t>
  </si>
  <si>
    <t>Driver_Age</t>
  </si>
  <si>
    <t>Speed_kmph</t>
  </si>
  <si>
    <t>Fatalities</t>
  </si>
  <si>
    <t>Injuries</t>
  </si>
  <si>
    <t>Response_Time_Minutes</t>
  </si>
  <si>
    <t>Malappuram</t>
  </si>
  <si>
    <t>City3</t>
  </si>
  <si>
    <t>Rural</t>
  </si>
  <si>
    <t>ACC0001</t>
  </si>
  <si>
    <t>08:02</t>
  </si>
  <si>
    <t>Bike</t>
  </si>
  <si>
    <t>Distraction</t>
  </si>
  <si>
    <t>Clear</t>
  </si>
  <si>
    <t>Dry</t>
  </si>
  <si>
    <t>Ernakulam</t>
  </si>
  <si>
    <t>City30</t>
  </si>
  <si>
    <t>ACC0002</t>
  </si>
  <si>
    <t>17:25</t>
  </si>
  <si>
    <t>Truck</t>
  </si>
  <si>
    <t>Drunk Driving</t>
  </si>
  <si>
    <t>Rain</t>
  </si>
  <si>
    <t>Thrissur</t>
  </si>
  <si>
    <t>City8</t>
  </si>
  <si>
    <t>Urban</t>
  </si>
  <si>
    <t>ACC0003</t>
  </si>
  <si>
    <t>04:10</t>
  </si>
  <si>
    <t>Car</t>
  </si>
  <si>
    <t>Over-speeding</t>
  </si>
  <si>
    <t>Kollam</t>
  </si>
  <si>
    <t>City12</t>
  </si>
  <si>
    <t>ACC0004</t>
  </si>
  <si>
    <t>16:43</t>
  </si>
  <si>
    <t>City17</t>
  </si>
  <si>
    <t>ACC0005</t>
  </si>
  <si>
    <t>04:58</t>
  </si>
  <si>
    <t>Fog</t>
  </si>
  <si>
    <t>Kannur</t>
  </si>
  <si>
    <t>City7</t>
  </si>
  <si>
    <t>ACC0006</t>
  </si>
  <si>
    <t>18:58</t>
  </si>
  <si>
    <t>Bus</t>
  </si>
  <si>
    <t>City21</t>
  </si>
  <si>
    <t>ACC0007</t>
  </si>
  <si>
    <t>22:00</t>
  </si>
  <si>
    <t>Wet</t>
  </si>
  <si>
    <t>City1</t>
  </si>
  <si>
    <t>ACC0008</t>
  </si>
  <si>
    <t>04:15</t>
  </si>
  <si>
    <t>Auto</t>
  </si>
  <si>
    <t>Palakkad</t>
  </si>
  <si>
    <t>City29</t>
  </si>
  <si>
    <t>ACC0009</t>
  </si>
  <si>
    <t>01:33</t>
  </si>
  <si>
    <t>City5</t>
  </si>
  <si>
    <t>ACC0010</t>
  </si>
  <si>
    <t>00:20</t>
  </si>
  <si>
    <t>ACC0011</t>
  </si>
  <si>
    <t>20:20</t>
  </si>
  <si>
    <t>Brake Failure</t>
  </si>
  <si>
    <t>Kozhikode</t>
  </si>
  <si>
    <t>ACC0012</t>
  </si>
  <si>
    <t>03:38</t>
  </si>
  <si>
    <t>Trivandrum</t>
  </si>
  <si>
    <t>City20</t>
  </si>
  <si>
    <t>ACC0013</t>
  </si>
  <si>
    <t>01:26</t>
  </si>
  <si>
    <t>ACC0014</t>
  </si>
  <si>
    <t>21:43</t>
  </si>
  <si>
    <t>City28</t>
  </si>
  <si>
    <t>ACC0015</t>
  </si>
  <si>
    <t>21:45</t>
  </si>
  <si>
    <t>ACC0016</t>
  </si>
  <si>
    <t>18:49</t>
  </si>
  <si>
    <t>City24</t>
  </si>
  <si>
    <t>ACC0017</t>
  </si>
  <si>
    <t>05:28</t>
  </si>
  <si>
    <t>City10</t>
  </si>
  <si>
    <t>ACC0018</t>
  </si>
  <si>
    <t>06:55</t>
  </si>
  <si>
    <t>City22</t>
  </si>
  <si>
    <t>ACC0019</t>
  </si>
  <si>
    <t>23:08</t>
  </si>
  <si>
    <t>ACC0020</t>
  </si>
  <si>
    <t>18:45</t>
  </si>
  <si>
    <t>City25</t>
  </si>
  <si>
    <t>ACC0021</t>
  </si>
  <si>
    <t>09:58</t>
  </si>
  <si>
    <t>ACC0022</t>
  </si>
  <si>
    <t>11:58</t>
  </si>
  <si>
    <t>ACC0023</t>
  </si>
  <si>
    <t>16:13</t>
  </si>
  <si>
    <t>City23</t>
  </si>
  <si>
    <t>ACC0024</t>
  </si>
  <si>
    <t>03:56</t>
  </si>
  <si>
    <t>ACC0025</t>
  </si>
  <si>
    <t>22:11</t>
  </si>
  <si>
    <t>Alappuzha</t>
  </si>
  <si>
    <t>City11</t>
  </si>
  <si>
    <t>ACC0026</t>
  </si>
  <si>
    <t>03:29</t>
  </si>
  <si>
    <t>ACC0027</t>
  </si>
  <si>
    <t>21:26</t>
  </si>
  <si>
    <t>ACC0028</t>
  </si>
  <si>
    <t>03:08</t>
  </si>
  <si>
    <t>City27</t>
  </si>
  <si>
    <t>ACC0029</t>
  </si>
  <si>
    <t>09:57</t>
  </si>
  <si>
    <t>ACC0030</t>
  </si>
  <si>
    <t>14:52</t>
  </si>
  <si>
    <t>ACC0031</t>
  </si>
  <si>
    <t>00:28</t>
  </si>
  <si>
    <t>ACC0032</t>
  </si>
  <si>
    <t>06:54</t>
  </si>
  <si>
    <t>ACC0033</t>
  </si>
  <si>
    <t>06:04</t>
  </si>
  <si>
    <t>Kottayam</t>
  </si>
  <si>
    <t>ACC0034</t>
  </si>
  <si>
    <t>17:43</t>
  </si>
  <si>
    <t>ACC0035</t>
  </si>
  <si>
    <t>21:13</t>
  </si>
  <si>
    <t>ACC0036</t>
  </si>
  <si>
    <t>13:52</t>
  </si>
  <si>
    <t>City13</t>
  </si>
  <si>
    <t>ACC0037</t>
  </si>
  <si>
    <t>23:59</t>
  </si>
  <si>
    <t>ACC0038</t>
  </si>
  <si>
    <t>10:30</t>
  </si>
  <si>
    <t>City14</t>
  </si>
  <si>
    <t>ACC0039</t>
  </si>
  <si>
    <t>21:19</t>
  </si>
  <si>
    <t>ACC0040</t>
  </si>
  <si>
    <t>01:23</t>
  </si>
  <si>
    <t>City4</t>
  </si>
  <si>
    <t>ACC0041</t>
  </si>
  <si>
    <t>15:50</t>
  </si>
  <si>
    <t>City16</t>
  </si>
  <si>
    <t>ACC0042</t>
  </si>
  <si>
    <t>13:29</t>
  </si>
  <si>
    <t>City26</t>
  </si>
  <si>
    <t>ACC0043</t>
  </si>
  <si>
    <t>10:11</t>
  </si>
  <si>
    <t>ACC0044</t>
  </si>
  <si>
    <t>13:56</t>
  </si>
  <si>
    <t>ACC0045</t>
  </si>
  <si>
    <t>11:32</t>
  </si>
  <si>
    <t>ACC0046</t>
  </si>
  <si>
    <t>15:11</t>
  </si>
  <si>
    <t>City15</t>
  </si>
  <si>
    <t>ACC0047</t>
  </si>
  <si>
    <t>03:54</t>
  </si>
  <si>
    <t>City9</t>
  </si>
  <si>
    <t>ACC0048</t>
  </si>
  <si>
    <t>13:48</t>
  </si>
  <si>
    <t>ACC0049</t>
  </si>
  <si>
    <t>21:03</t>
  </si>
  <si>
    <t>ACC0050</t>
  </si>
  <si>
    <t>18:43</t>
  </si>
  <si>
    <t>ACC0051</t>
  </si>
  <si>
    <t>20:46</t>
  </si>
  <si>
    <t>ACC0052</t>
  </si>
  <si>
    <t>07:11</t>
  </si>
  <si>
    <t>ACC0053</t>
  </si>
  <si>
    <t>16:35</t>
  </si>
  <si>
    <t>City2</t>
  </si>
  <si>
    <t>ACC0054</t>
  </si>
  <si>
    <t>13:58</t>
  </si>
  <si>
    <t>City18</t>
  </si>
  <si>
    <t>ACC0055</t>
  </si>
  <si>
    <t>12:23</t>
  </si>
  <si>
    <t>ACC0056</t>
  </si>
  <si>
    <t>09:44</t>
  </si>
  <si>
    <t>ACC0057</t>
  </si>
  <si>
    <t>05:59</t>
  </si>
  <si>
    <t>ACC0058</t>
  </si>
  <si>
    <t>04:39</t>
  </si>
  <si>
    <t>ACC0059</t>
  </si>
  <si>
    <t>16:56</t>
  </si>
  <si>
    <t>ACC0060</t>
  </si>
  <si>
    <t>04:31</t>
  </si>
  <si>
    <t>ACC0061</t>
  </si>
  <si>
    <t>15:41</t>
  </si>
  <si>
    <t>ACC0062</t>
  </si>
  <si>
    <t>07:29</t>
  </si>
  <si>
    <t>ACC0063</t>
  </si>
  <si>
    <t>22:17</t>
  </si>
  <si>
    <t>ACC0064</t>
  </si>
  <si>
    <t>00:54</t>
  </si>
  <si>
    <t>ACC0065</t>
  </si>
  <si>
    <t>15:05</t>
  </si>
  <si>
    <t>ACC0066</t>
  </si>
  <si>
    <t>17:39</t>
  </si>
  <si>
    <t>ACC0067</t>
  </si>
  <si>
    <t>19:03</t>
  </si>
  <si>
    <t>ACC0068</t>
  </si>
  <si>
    <t>23:25</t>
  </si>
  <si>
    <t>ACC0069</t>
  </si>
  <si>
    <t>09:10</t>
  </si>
  <si>
    <t>ACC0070</t>
  </si>
  <si>
    <t>17:51</t>
  </si>
  <si>
    <t>City19</t>
  </si>
  <si>
    <t>ACC0071</t>
  </si>
  <si>
    <t>11:53</t>
  </si>
  <si>
    <t>ACC0072</t>
  </si>
  <si>
    <t>12:40</t>
  </si>
  <si>
    <t>ACC0073</t>
  </si>
  <si>
    <t>19:08</t>
  </si>
  <si>
    <t>ACC0074</t>
  </si>
  <si>
    <t>21:06</t>
  </si>
  <si>
    <t>ACC0075</t>
  </si>
  <si>
    <t>20:43</t>
  </si>
  <si>
    <t>ACC0076</t>
  </si>
  <si>
    <t>10:15</t>
  </si>
  <si>
    <t>ACC0077</t>
  </si>
  <si>
    <t>15:28</t>
  </si>
  <si>
    <t>ACC0078</t>
  </si>
  <si>
    <t>11:42</t>
  </si>
  <si>
    <t>ACC0079</t>
  </si>
  <si>
    <t>11:25</t>
  </si>
  <si>
    <t>ACC0080</t>
  </si>
  <si>
    <t>17:30</t>
  </si>
  <si>
    <t>ACC0081</t>
  </si>
  <si>
    <t>12:50</t>
  </si>
  <si>
    <t>ACC0082</t>
  </si>
  <si>
    <t>ACC0083</t>
  </si>
  <si>
    <t>21:00</t>
  </si>
  <si>
    <t>ACC0084</t>
  </si>
  <si>
    <t>11:13</t>
  </si>
  <si>
    <t>ACC0085</t>
  </si>
  <si>
    <t>13:34</t>
  </si>
  <si>
    <t>ACC0086</t>
  </si>
  <si>
    <t>05:07</t>
  </si>
  <si>
    <t>ACC0087</t>
  </si>
  <si>
    <t>16:33</t>
  </si>
  <si>
    <t>ACC0088</t>
  </si>
  <si>
    <t>23:19</t>
  </si>
  <si>
    <t>ACC0089</t>
  </si>
  <si>
    <t>09:42</t>
  </si>
  <si>
    <t>ACC0090</t>
  </si>
  <si>
    <t>15:00</t>
  </si>
  <si>
    <t>ACC0091</t>
  </si>
  <si>
    <t>04:16</t>
  </si>
  <si>
    <t>ACC0092</t>
  </si>
  <si>
    <t>14:49</t>
  </si>
  <si>
    <t>ACC0093</t>
  </si>
  <si>
    <t>21:30</t>
  </si>
  <si>
    <t>ACC0094</t>
  </si>
  <si>
    <t>02:01</t>
  </si>
  <si>
    <t>ACC0095</t>
  </si>
  <si>
    <t>03:53</t>
  </si>
  <si>
    <t>ACC0096</t>
  </si>
  <si>
    <t>07:26</t>
  </si>
  <si>
    <t>ACC0097</t>
  </si>
  <si>
    <t>11:01</t>
  </si>
  <si>
    <t>ACC0098</t>
  </si>
  <si>
    <t>01:09</t>
  </si>
  <si>
    <t>ACC0099</t>
  </si>
  <si>
    <t>ACC0100</t>
  </si>
  <si>
    <t>08:17</t>
  </si>
  <si>
    <t>ACC0101</t>
  </si>
  <si>
    <t>23:03</t>
  </si>
  <si>
    <t>ACC0102</t>
  </si>
  <si>
    <t>16:30</t>
  </si>
  <si>
    <t>ACC0103</t>
  </si>
  <si>
    <t>11:04</t>
  </si>
  <si>
    <t>ACC0104</t>
  </si>
  <si>
    <t>15:21</t>
  </si>
  <si>
    <t>ACC0105</t>
  </si>
  <si>
    <t>08:30</t>
  </si>
  <si>
    <t>City6</t>
  </si>
  <si>
    <t>ACC0106</t>
  </si>
  <si>
    <t>07:23</t>
  </si>
  <si>
    <t>ACC0107</t>
  </si>
  <si>
    <t>16:28</t>
  </si>
  <si>
    <t>ACC0108</t>
  </si>
  <si>
    <t>16:07</t>
  </si>
  <si>
    <t>ACC0109</t>
  </si>
  <si>
    <t>03:59</t>
  </si>
  <si>
    <t>ACC0110</t>
  </si>
  <si>
    <t>ACC0111</t>
  </si>
  <si>
    <t>06:03</t>
  </si>
  <si>
    <t>ACC0112</t>
  </si>
  <si>
    <t>04:25</t>
  </si>
  <si>
    <t>ACC0113</t>
  </si>
  <si>
    <t>01:25</t>
  </si>
  <si>
    <t>ACC0114</t>
  </si>
  <si>
    <t>17:36</t>
  </si>
  <si>
    <t>ACC0115</t>
  </si>
  <si>
    <t>15:07</t>
  </si>
  <si>
    <t>ACC0116</t>
  </si>
  <si>
    <t>10:13</t>
  </si>
  <si>
    <t>ACC0117</t>
  </si>
  <si>
    <t>10:49</t>
  </si>
  <si>
    <t>ACC0118</t>
  </si>
  <si>
    <t>14:16</t>
  </si>
  <si>
    <t>ACC0119</t>
  </si>
  <si>
    <t>ACC0120</t>
  </si>
  <si>
    <t>19:28</t>
  </si>
  <si>
    <t>ACC0121</t>
  </si>
  <si>
    <t>14:03</t>
  </si>
  <si>
    <t>ACC0122</t>
  </si>
  <si>
    <t>23:11</t>
  </si>
  <si>
    <t>ACC0123</t>
  </si>
  <si>
    <t>09:49</t>
  </si>
  <si>
    <t>ACC0124</t>
  </si>
  <si>
    <t>18:52</t>
  </si>
  <si>
    <t>ACC0125</t>
  </si>
  <si>
    <t>19:22</t>
  </si>
  <si>
    <t>ACC0126</t>
  </si>
  <si>
    <t>07:10</t>
  </si>
  <si>
    <t>ACC0127</t>
  </si>
  <si>
    <t>06:34</t>
  </si>
  <si>
    <t>ACC0128</t>
  </si>
  <si>
    <t>10:25</t>
  </si>
  <si>
    <t>ACC0129</t>
  </si>
  <si>
    <t>15:19</t>
  </si>
  <si>
    <t>ACC0130</t>
  </si>
  <si>
    <t>19:40</t>
  </si>
  <si>
    <t>ACC0131</t>
  </si>
  <si>
    <t>05:31</t>
  </si>
  <si>
    <t>ACC0132</t>
  </si>
  <si>
    <t>01:40</t>
  </si>
  <si>
    <t>ACC0133</t>
  </si>
  <si>
    <t>16:54</t>
  </si>
  <si>
    <t>ACC0134</t>
  </si>
  <si>
    <t>16:05</t>
  </si>
  <si>
    <t>ACC0135</t>
  </si>
  <si>
    <t>07:49</t>
  </si>
  <si>
    <t>ACC0136</t>
  </si>
  <si>
    <t>11:16</t>
  </si>
  <si>
    <t>ACC0137</t>
  </si>
  <si>
    <t>18:47</t>
  </si>
  <si>
    <t>ACC0138</t>
  </si>
  <si>
    <t>ACC0139</t>
  </si>
  <si>
    <t>07:33</t>
  </si>
  <si>
    <t>ACC0140</t>
  </si>
  <si>
    <t>18:26</t>
  </si>
  <si>
    <t>ACC0141</t>
  </si>
  <si>
    <t>10:41</t>
  </si>
  <si>
    <t>ACC0142</t>
  </si>
  <si>
    <t>14:17</t>
  </si>
  <si>
    <t>ACC0143</t>
  </si>
  <si>
    <t>11:19</t>
  </si>
  <si>
    <t>ACC0144</t>
  </si>
  <si>
    <t>06:58</t>
  </si>
  <si>
    <t>ACC0145</t>
  </si>
  <si>
    <t>09:43</t>
  </si>
  <si>
    <t>ACC0146</t>
  </si>
  <si>
    <t>11:56</t>
  </si>
  <si>
    <t>ACC0147</t>
  </si>
  <si>
    <t>07:14</t>
  </si>
  <si>
    <t>ACC0148</t>
  </si>
  <si>
    <t>19:12</t>
  </si>
  <si>
    <t>ACC0149</t>
  </si>
  <si>
    <t>09:26</t>
  </si>
  <si>
    <t>ACC0150</t>
  </si>
  <si>
    <t>03:49</t>
  </si>
  <si>
    <t>ACC0151</t>
  </si>
  <si>
    <t>05:04</t>
  </si>
  <si>
    <t>ACC0152</t>
  </si>
  <si>
    <t>06:12</t>
  </si>
  <si>
    <t>ACC0153</t>
  </si>
  <si>
    <t>ACC0154</t>
  </si>
  <si>
    <t>16:48</t>
  </si>
  <si>
    <t>ACC0155</t>
  </si>
  <si>
    <t>03:41</t>
  </si>
  <si>
    <t>ACC0156</t>
  </si>
  <si>
    <t>00:11</t>
  </si>
  <si>
    <t>ACC0157</t>
  </si>
  <si>
    <t>23:12</t>
  </si>
  <si>
    <t>ACC0158</t>
  </si>
  <si>
    <t>13:21</t>
  </si>
  <si>
    <t>ACC0159</t>
  </si>
  <si>
    <t>06:35</t>
  </si>
  <si>
    <t>ACC0160</t>
  </si>
  <si>
    <t>03:13</t>
  </si>
  <si>
    <t>ACC0161</t>
  </si>
  <si>
    <t>ACC0162</t>
  </si>
  <si>
    <t>12:06</t>
  </si>
  <si>
    <t>ACC0163</t>
  </si>
  <si>
    <t>23:05</t>
  </si>
  <si>
    <t>ACC0164</t>
  </si>
  <si>
    <t>03:26</t>
  </si>
  <si>
    <t>ACC0165</t>
  </si>
  <si>
    <t>14:22</t>
  </si>
  <si>
    <t>ACC0166</t>
  </si>
  <si>
    <t>17:42</t>
  </si>
  <si>
    <t>ACC0167</t>
  </si>
  <si>
    <t>01:21</t>
  </si>
  <si>
    <t>ACC0168</t>
  </si>
  <si>
    <t>00:59</t>
  </si>
  <si>
    <t>ACC0169</t>
  </si>
  <si>
    <t>ACC0170</t>
  </si>
  <si>
    <t>ACC0171</t>
  </si>
  <si>
    <t>10:14</t>
  </si>
  <si>
    <t>ACC0172</t>
  </si>
  <si>
    <t>ACC0173</t>
  </si>
  <si>
    <t>ACC0174</t>
  </si>
  <si>
    <t>12:28</t>
  </si>
  <si>
    <t>ACC0175</t>
  </si>
  <si>
    <t>11:14</t>
  </si>
  <si>
    <t>ACC0176</t>
  </si>
  <si>
    <t>ACC0177</t>
  </si>
  <si>
    <t>19:33</t>
  </si>
  <si>
    <t>ACC0178</t>
  </si>
  <si>
    <t>11:11</t>
  </si>
  <si>
    <t>ACC0179</t>
  </si>
  <si>
    <t>02:21</t>
  </si>
  <si>
    <t>ACC0180</t>
  </si>
  <si>
    <t>14:43</t>
  </si>
  <si>
    <t>ACC0181</t>
  </si>
  <si>
    <t>14:40</t>
  </si>
  <si>
    <t>ACC0182</t>
  </si>
  <si>
    <t>12:30</t>
  </si>
  <si>
    <t>ACC0183</t>
  </si>
  <si>
    <t>13:28</t>
  </si>
  <si>
    <t>ACC0184</t>
  </si>
  <si>
    <t>22:32</t>
  </si>
  <si>
    <t>ACC0185</t>
  </si>
  <si>
    <t>ACC0186</t>
  </si>
  <si>
    <t>10:04</t>
  </si>
  <si>
    <t>ACC0187</t>
  </si>
  <si>
    <t>03:31</t>
  </si>
  <si>
    <t>ACC0188</t>
  </si>
  <si>
    <t>15:25</t>
  </si>
  <si>
    <t>ACC0189</t>
  </si>
  <si>
    <t>23:40</t>
  </si>
  <si>
    <t>ACC0190</t>
  </si>
  <si>
    <t>15:26</t>
  </si>
  <si>
    <t>ACC0191</t>
  </si>
  <si>
    <t>02:56</t>
  </si>
  <si>
    <t>ACC0192</t>
  </si>
  <si>
    <t>08:36</t>
  </si>
  <si>
    <t>ACC0193</t>
  </si>
  <si>
    <t>04:48</t>
  </si>
  <si>
    <t>ACC0194</t>
  </si>
  <si>
    <t>03:00</t>
  </si>
  <si>
    <t>ACC0195</t>
  </si>
  <si>
    <t>05:10</t>
  </si>
  <si>
    <t>ACC0196</t>
  </si>
  <si>
    <t>12:20</t>
  </si>
  <si>
    <t>ACC0197</t>
  </si>
  <si>
    <t>ACC0198</t>
  </si>
  <si>
    <t>07:01</t>
  </si>
  <si>
    <t>ACC0199</t>
  </si>
  <si>
    <t>22:15</t>
  </si>
  <si>
    <t>ACC0200</t>
  </si>
  <si>
    <t>06:44</t>
  </si>
  <si>
    <t>ACC0201</t>
  </si>
  <si>
    <t>23:06</t>
  </si>
  <si>
    <t>ACC0202</t>
  </si>
  <si>
    <t>23:09</t>
  </si>
  <si>
    <t>ACC0203</t>
  </si>
  <si>
    <t>19:31</t>
  </si>
  <si>
    <t>ACC0204</t>
  </si>
  <si>
    <t>18:30</t>
  </si>
  <si>
    <t>ACC0205</t>
  </si>
  <si>
    <t>12:35</t>
  </si>
  <si>
    <t>ACC0206</t>
  </si>
  <si>
    <t>04:18</t>
  </si>
  <si>
    <t>ACC0207</t>
  </si>
  <si>
    <t>07:13</t>
  </si>
  <si>
    <t>ACC0208</t>
  </si>
  <si>
    <t>16:58</t>
  </si>
  <si>
    <t>ACC0209</t>
  </si>
  <si>
    <t>12:08</t>
  </si>
  <si>
    <t>ACC0210</t>
  </si>
  <si>
    <t>14:51</t>
  </si>
  <si>
    <t>ACC0211</t>
  </si>
  <si>
    <t>19:50</t>
  </si>
  <si>
    <t>ACC0212</t>
  </si>
  <si>
    <t>05:18</t>
  </si>
  <si>
    <t>ACC0213</t>
  </si>
  <si>
    <t>15:46</t>
  </si>
  <si>
    <t>ACC0214</t>
  </si>
  <si>
    <t>ACC0215</t>
  </si>
  <si>
    <t>07:22</t>
  </si>
  <si>
    <t>ACC0216</t>
  </si>
  <si>
    <t>11:33</t>
  </si>
  <si>
    <t>ACC0217</t>
  </si>
  <si>
    <t>15:23</t>
  </si>
  <si>
    <t>ACC0218</t>
  </si>
  <si>
    <t>00:13</t>
  </si>
  <si>
    <t>ACC0219</t>
  </si>
  <si>
    <t>12:57</t>
  </si>
  <si>
    <t>ACC0220</t>
  </si>
  <si>
    <t>04:55</t>
  </si>
  <si>
    <t>ACC0221</t>
  </si>
  <si>
    <t>ACC0222</t>
  </si>
  <si>
    <t>16:46</t>
  </si>
  <si>
    <t>ACC0223</t>
  </si>
  <si>
    <t>19:21</t>
  </si>
  <si>
    <t>ACC0224</t>
  </si>
  <si>
    <t>18:35</t>
  </si>
  <si>
    <t>ACC0225</t>
  </si>
  <si>
    <t>ACC0226</t>
  </si>
  <si>
    <t>13:16</t>
  </si>
  <si>
    <t>ACC0227</t>
  </si>
  <si>
    <t>13:45</t>
  </si>
  <si>
    <t>ACC0228</t>
  </si>
  <si>
    <t>02:32</t>
  </si>
  <si>
    <t>ACC0229</t>
  </si>
  <si>
    <t>04:13</t>
  </si>
  <si>
    <t>ACC0230</t>
  </si>
  <si>
    <t>20:32</t>
  </si>
  <si>
    <t>ACC0231</t>
  </si>
  <si>
    <t>09:37</t>
  </si>
  <si>
    <t>ACC0232</t>
  </si>
  <si>
    <t>ACC0233</t>
  </si>
  <si>
    <t>19:56</t>
  </si>
  <si>
    <t>ACC0234</t>
  </si>
  <si>
    <t>ACC0235</t>
  </si>
  <si>
    <t>ACC0236</t>
  </si>
  <si>
    <t>ACC0237</t>
  </si>
  <si>
    <t>23:22</t>
  </si>
  <si>
    <t>ACC0238</t>
  </si>
  <si>
    <t>17:54</t>
  </si>
  <si>
    <t>ACC0239</t>
  </si>
  <si>
    <t>01:11</t>
  </si>
  <si>
    <t>ACC0240</t>
  </si>
  <si>
    <t>03:02</t>
  </si>
  <si>
    <t>ACC0241</t>
  </si>
  <si>
    <t>06:22</t>
  </si>
  <si>
    <t>ACC0242</t>
  </si>
  <si>
    <t>ACC0243</t>
  </si>
  <si>
    <t>09:21</t>
  </si>
  <si>
    <t>ACC0244</t>
  </si>
  <si>
    <t>23:38</t>
  </si>
  <si>
    <t>ACC0245</t>
  </si>
  <si>
    <t>23:48</t>
  </si>
  <si>
    <t>ACC0246</t>
  </si>
  <si>
    <t>00:38</t>
  </si>
  <si>
    <t>ACC0247</t>
  </si>
  <si>
    <t>06:02</t>
  </si>
  <si>
    <t>ACC0248</t>
  </si>
  <si>
    <t>09:27</t>
  </si>
  <si>
    <t>ACC0249</t>
  </si>
  <si>
    <t>05:44</t>
  </si>
  <si>
    <t>ACC0250</t>
  </si>
  <si>
    <t>11:26</t>
  </si>
  <si>
    <t>ACC0251</t>
  </si>
  <si>
    <t>05:23</t>
  </si>
  <si>
    <t>ACC0252</t>
  </si>
  <si>
    <t>ACC0253</t>
  </si>
  <si>
    <t>ACC0254</t>
  </si>
  <si>
    <t>08:54</t>
  </si>
  <si>
    <t>ACC0255</t>
  </si>
  <si>
    <t>07:09</t>
  </si>
  <si>
    <t>ACC0256</t>
  </si>
  <si>
    <t>15:08</t>
  </si>
  <si>
    <t>ACC0257</t>
  </si>
  <si>
    <t>19:45</t>
  </si>
  <si>
    <t>ACC0258</t>
  </si>
  <si>
    <t>ACC0259</t>
  </si>
  <si>
    <t>17:49</t>
  </si>
  <si>
    <t>ACC0260</t>
  </si>
  <si>
    <t>21:58</t>
  </si>
  <si>
    <t>ACC0261</t>
  </si>
  <si>
    <t>23:16</t>
  </si>
  <si>
    <t>ACC0262</t>
  </si>
  <si>
    <t>ACC0263</t>
  </si>
  <si>
    <t>12:54</t>
  </si>
  <si>
    <t>ACC0264</t>
  </si>
  <si>
    <t>15:45</t>
  </si>
  <si>
    <t>ACC0265</t>
  </si>
  <si>
    <t>02:48</t>
  </si>
  <si>
    <t>ACC0266</t>
  </si>
  <si>
    <t>13:53</t>
  </si>
  <si>
    <t>ACC0267</t>
  </si>
  <si>
    <t>21:51</t>
  </si>
  <si>
    <t>ACC0268</t>
  </si>
  <si>
    <t>01:14</t>
  </si>
  <si>
    <t>ACC0269</t>
  </si>
  <si>
    <t>06:48</t>
  </si>
  <si>
    <t>ACC0270</t>
  </si>
  <si>
    <t>22:01</t>
  </si>
  <si>
    <t>ACC0271</t>
  </si>
  <si>
    <t>ACC0272</t>
  </si>
  <si>
    <t>12:46</t>
  </si>
  <si>
    <t>ACC0273</t>
  </si>
  <si>
    <t>18:23</t>
  </si>
  <si>
    <t>ACC0274</t>
  </si>
  <si>
    <t>13:22</t>
  </si>
  <si>
    <t>ACC0275</t>
  </si>
  <si>
    <t>02:33</t>
  </si>
  <si>
    <t>ACC0276</t>
  </si>
  <si>
    <t>16:03</t>
  </si>
  <si>
    <t>ACC0277</t>
  </si>
  <si>
    <t>03:36</t>
  </si>
  <si>
    <t>ACC0278</t>
  </si>
  <si>
    <t>14:39</t>
  </si>
  <si>
    <t>ACC0279</t>
  </si>
  <si>
    <t>ACC0280</t>
  </si>
  <si>
    <t>16:34</t>
  </si>
  <si>
    <t>ACC0281</t>
  </si>
  <si>
    <t>22:23</t>
  </si>
  <si>
    <t>ACC0282</t>
  </si>
  <si>
    <t>ACC0283</t>
  </si>
  <si>
    <t>02:19</t>
  </si>
  <si>
    <t>ACC0284</t>
  </si>
  <si>
    <t>17:52</t>
  </si>
  <si>
    <t>ACC0285</t>
  </si>
  <si>
    <t>07:54</t>
  </si>
  <si>
    <t>ACC0286</t>
  </si>
  <si>
    <t>20:38</t>
  </si>
  <si>
    <t>ACC0287</t>
  </si>
  <si>
    <t>09:35</t>
  </si>
  <si>
    <t>ACC0288</t>
  </si>
  <si>
    <t>02:18</t>
  </si>
  <si>
    <t>ACC0289</t>
  </si>
  <si>
    <t>ACC0290</t>
  </si>
  <si>
    <t>15:55</t>
  </si>
  <si>
    <t>ACC0291</t>
  </si>
  <si>
    <t>08:57</t>
  </si>
  <si>
    <t>ACC0292</t>
  </si>
  <si>
    <t>20:13</t>
  </si>
  <si>
    <t>ACC0293</t>
  </si>
  <si>
    <t>02:41</t>
  </si>
  <si>
    <t>ACC0294</t>
  </si>
  <si>
    <t>13:42</t>
  </si>
  <si>
    <t>ACC0295</t>
  </si>
  <si>
    <t>10:24</t>
  </si>
  <si>
    <t>ACC0296</t>
  </si>
  <si>
    <t>14:56</t>
  </si>
  <si>
    <t>ACC0297</t>
  </si>
  <si>
    <t>14:18</t>
  </si>
  <si>
    <t>ACC0298</t>
  </si>
  <si>
    <t>16:10</t>
  </si>
  <si>
    <t>ACC0299</t>
  </si>
  <si>
    <t>ACC0300</t>
  </si>
  <si>
    <t>00:23</t>
  </si>
  <si>
    <t>ACC0301</t>
  </si>
  <si>
    <t>ACC0302</t>
  </si>
  <si>
    <t>05:16</t>
  </si>
  <si>
    <t>ACC0303</t>
  </si>
  <si>
    <t>ACC0304</t>
  </si>
  <si>
    <t>17:15</t>
  </si>
  <si>
    <t>ACC0305</t>
  </si>
  <si>
    <t>00:25</t>
  </si>
  <si>
    <t>ACC0306</t>
  </si>
  <si>
    <t>07:04</t>
  </si>
  <si>
    <t>ACC0307</t>
  </si>
  <si>
    <t>01:01</t>
  </si>
  <si>
    <t>ACC0308</t>
  </si>
  <si>
    <t>23:55</t>
  </si>
  <si>
    <t>ACC0309</t>
  </si>
  <si>
    <t>ACC0310</t>
  </si>
  <si>
    <t>ACC0311</t>
  </si>
  <si>
    <t>ACC0312</t>
  </si>
  <si>
    <t>11:40</t>
  </si>
  <si>
    <t>ACC0313</t>
  </si>
  <si>
    <t>21:36</t>
  </si>
  <si>
    <t>ACC0314</t>
  </si>
  <si>
    <t>ACC0315</t>
  </si>
  <si>
    <t>ACC0316</t>
  </si>
  <si>
    <t>ACC0317</t>
  </si>
  <si>
    <t>15:43</t>
  </si>
  <si>
    <t>ACC0318</t>
  </si>
  <si>
    <t>01:24</t>
  </si>
  <si>
    <t>ACC0319</t>
  </si>
  <si>
    <t>ACC0320</t>
  </si>
  <si>
    <t>ACC0321</t>
  </si>
  <si>
    <t>20:16</t>
  </si>
  <si>
    <t>ACC0322</t>
  </si>
  <si>
    <t>05:37</t>
  </si>
  <si>
    <t>ACC0323</t>
  </si>
  <si>
    <t>17:32</t>
  </si>
  <si>
    <t>ACC0324</t>
  </si>
  <si>
    <t>17:10</t>
  </si>
  <si>
    <t>ACC0325</t>
  </si>
  <si>
    <t>07:05</t>
  </si>
  <si>
    <t>ACC0326</t>
  </si>
  <si>
    <t>18:27</t>
  </si>
  <si>
    <t>ACC0327</t>
  </si>
  <si>
    <t>13:17</t>
  </si>
  <si>
    <t>ACC0328</t>
  </si>
  <si>
    <t>20:34</t>
  </si>
  <si>
    <t>ACC0329</t>
  </si>
  <si>
    <t>ACC0330</t>
  </si>
  <si>
    <t>22:10</t>
  </si>
  <si>
    <t>ACC0331</t>
  </si>
  <si>
    <t>ACC0332</t>
  </si>
  <si>
    <t>08:52</t>
  </si>
  <si>
    <t>ACC0333</t>
  </si>
  <si>
    <t>05:25</t>
  </si>
  <si>
    <t>ACC0334</t>
  </si>
  <si>
    <t>07:51</t>
  </si>
  <si>
    <t>ACC0335</t>
  </si>
  <si>
    <t>04:32</t>
  </si>
  <si>
    <t>ACC0336</t>
  </si>
  <si>
    <t>18:32</t>
  </si>
  <si>
    <t>ACC0337</t>
  </si>
  <si>
    <t>07:57</t>
  </si>
  <si>
    <t>ACC0338</t>
  </si>
  <si>
    <t>15:27</t>
  </si>
  <si>
    <t>ACC0339</t>
  </si>
  <si>
    <t>16:12</t>
  </si>
  <si>
    <t>ACC0340</t>
  </si>
  <si>
    <t>ACC0341</t>
  </si>
  <si>
    <t>00:08</t>
  </si>
  <si>
    <t>ACC0342</t>
  </si>
  <si>
    <t>ACC0343</t>
  </si>
  <si>
    <t>ACC0344</t>
  </si>
  <si>
    <t>ACC0345</t>
  </si>
  <si>
    <t>13:00</t>
  </si>
  <si>
    <t>ACC0346</t>
  </si>
  <si>
    <t>ACC0347</t>
  </si>
  <si>
    <t>ACC0348</t>
  </si>
  <si>
    <t>08:29</t>
  </si>
  <si>
    <t>ACC0349</t>
  </si>
  <si>
    <t>17:23</t>
  </si>
  <si>
    <t>ACC0350</t>
  </si>
  <si>
    <t>18:20</t>
  </si>
  <si>
    <t>ACC0351</t>
  </si>
  <si>
    <t>ACC0352</t>
  </si>
  <si>
    <t>06:42</t>
  </si>
  <si>
    <t>ACC0353</t>
  </si>
  <si>
    <t>08:08</t>
  </si>
  <si>
    <t>ACC0354</t>
  </si>
  <si>
    <t>06:57</t>
  </si>
  <si>
    <t>ACC0355</t>
  </si>
  <si>
    <t>ACC0356</t>
  </si>
  <si>
    <t>20:55</t>
  </si>
  <si>
    <t>ACC0357</t>
  </si>
  <si>
    <t>07:02</t>
  </si>
  <si>
    <t>ACC0358</t>
  </si>
  <si>
    <t>ACC0359</t>
  </si>
  <si>
    <t>00:32</t>
  </si>
  <si>
    <t>ACC0360</t>
  </si>
  <si>
    <t>ACC0361</t>
  </si>
  <si>
    <t>13:36</t>
  </si>
  <si>
    <t>ACC0362</t>
  </si>
  <si>
    <t>01:39</t>
  </si>
  <si>
    <t>ACC0363</t>
  </si>
  <si>
    <t>19:42</t>
  </si>
  <si>
    <t>ACC0364</t>
  </si>
  <si>
    <t>ACC0365</t>
  </si>
  <si>
    <t>08:50</t>
  </si>
  <si>
    <t>ACC0366</t>
  </si>
  <si>
    <t>16:01</t>
  </si>
  <si>
    <t>ACC0367</t>
  </si>
  <si>
    <t>08:46</t>
  </si>
  <si>
    <t>ACC0368</t>
  </si>
  <si>
    <t>03:33</t>
  </si>
  <si>
    <t>ACC0369</t>
  </si>
  <si>
    <t>06:14</t>
  </si>
  <si>
    <t>ACC0370</t>
  </si>
  <si>
    <t>ACC0371</t>
  </si>
  <si>
    <t>12:32</t>
  </si>
  <si>
    <t>ACC0372</t>
  </si>
  <si>
    <t>18:28</t>
  </si>
  <si>
    <t>ACC0373</t>
  </si>
  <si>
    <t>ACC0374</t>
  </si>
  <si>
    <t>11:46</t>
  </si>
  <si>
    <t>ACC0375</t>
  </si>
  <si>
    <t>20:09</t>
  </si>
  <si>
    <t>ACC0376</t>
  </si>
  <si>
    <t>23:28</t>
  </si>
  <si>
    <t>ACC0377</t>
  </si>
  <si>
    <t>14:15</t>
  </si>
  <si>
    <t>ACC0378</t>
  </si>
  <si>
    <t>13:12</t>
  </si>
  <si>
    <t>ACC0379</t>
  </si>
  <si>
    <t>17:08</t>
  </si>
  <si>
    <t>ACC0380</t>
  </si>
  <si>
    <t>00:37</t>
  </si>
  <si>
    <t>ACC0381</t>
  </si>
  <si>
    <t>23:36</t>
  </si>
  <si>
    <t>ACC0382</t>
  </si>
  <si>
    <t>02:57</t>
  </si>
  <si>
    <t>ACC0383</t>
  </si>
  <si>
    <t>19:04</t>
  </si>
  <si>
    <t>ACC0384</t>
  </si>
  <si>
    <t>00:48</t>
  </si>
  <si>
    <t>ACC0385</t>
  </si>
  <si>
    <t>12:25</t>
  </si>
  <si>
    <t>ACC0386</t>
  </si>
  <si>
    <t>21:42</t>
  </si>
  <si>
    <t>ACC0387</t>
  </si>
  <si>
    <t>22:07</t>
  </si>
  <si>
    <t>ACC0388</t>
  </si>
  <si>
    <t>14:44</t>
  </si>
  <si>
    <t>ACC0389</t>
  </si>
  <si>
    <t>12:11</t>
  </si>
  <si>
    <t>ACC0390</t>
  </si>
  <si>
    <t>ACC0391</t>
  </si>
  <si>
    <t>22:24</t>
  </si>
  <si>
    <t>ACC0392</t>
  </si>
  <si>
    <t>13:57</t>
  </si>
  <si>
    <t>ACC0393</t>
  </si>
  <si>
    <t>10:44</t>
  </si>
  <si>
    <t>ACC0394</t>
  </si>
  <si>
    <t>17:13</t>
  </si>
  <si>
    <t>ACC0395</t>
  </si>
  <si>
    <t>20:04</t>
  </si>
  <si>
    <t>ACC0396</t>
  </si>
  <si>
    <t>00:53</t>
  </si>
  <si>
    <t>ACC0397</t>
  </si>
  <si>
    <t>04:50</t>
  </si>
  <si>
    <t>ACC0398</t>
  </si>
  <si>
    <t>04:57</t>
  </si>
  <si>
    <t>ACC0399</t>
  </si>
  <si>
    <t>11:30</t>
  </si>
  <si>
    <t>ACC0400</t>
  </si>
  <si>
    <t>12:15</t>
  </si>
  <si>
    <t>day</t>
  </si>
  <si>
    <t>month</t>
  </si>
  <si>
    <t>district2</t>
  </si>
  <si>
    <t>Cause2</t>
  </si>
  <si>
    <t>DATA ANALYSING</t>
  </si>
  <si>
    <t>Sum of Fatalities</t>
  </si>
  <si>
    <t>Row Labels</t>
  </si>
  <si>
    <t>Grand Total</t>
  </si>
  <si>
    <t>Count of Accident_ID</t>
  </si>
  <si>
    <t>May</t>
  </si>
  <si>
    <t>2022</t>
  </si>
  <si>
    <t>2023</t>
  </si>
  <si>
    <t>2024</t>
  </si>
  <si>
    <t>2025</t>
  </si>
  <si>
    <t>8-17</t>
  </si>
  <si>
    <t>18-27</t>
  </si>
  <si>
    <t>28-37</t>
  </si>
  <si>
    <t>38-47</t>
  </si>
  <si>
    <t>death in each district</t>
  </si>
  <si>
    <t>year wise death rate</t>
  </si>
  <si>
    <t>why accident happen</t>
  </si>
  <si>
    <t>accident rain/clear</t>
  </si>
  <si>
    <t>top 5 district more death</t>
  </si>
  <si>
    <t>&gt;38</t>
  </si>
  <si>
    <t>28-38</t>
  </si>
  <si>
    <t>age&lt;38</t>
  </si>
  <si>
    <t>dealy increase death</t>
  </si>
  <si>
    <t>January</t>
  </si>
  <si>
    <t>February</t>
  </si>
  <si>
    <t>March</t>
  </si>
  <si>
    <t>April</t>
  </si>
  <si>
    <t>June</t>
  </si>
  <si>
    <t>July</t>
  </si>
  <si>
    <t>August</t>
  </si>
  <si>
    <t>October</t>
  </si>
  <si>
    <t>November</t>
  </si>
  <si>
    <t>December</t>
  </si>
  <si>
    <t>Sunday</t>
  </si>
  <si>
    <t>Monday</t>
  </si>
  <si>
    <t>Tuesday</t>
  </si>
  <si>
    <t>Wednesday</t>
  </si>
  <si>
    <t>Thursday</t>
  </si>
  <si>
    <t>Friday</t>
  </si>
  <si>
    <t>Saturday</t>
  </si>
  <si>
    <t>which month more accident</t>
  </si>
  <si>
    <t>workingda v/s holiday</t>
  </si>
  <si>
    <t>this shows accidents in</t>
  </si>
  <si>
    <t>Sum of Injuries</t>
  </si>
  <si>
    <t>number of accident per vehicle and injuries</t>
  </si>
  <si>
    <t>September</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</si>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</sst>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ss;@"/>
    <numFmt numFmtId="165" formatCode="0\ &quot;km/h&quot;"/>
  </numFmts>
  <fonts count="5">
    <font>
      <sz val="11"/>
      <color theme="1"/>
      <name val="Calibri"/>
      <family val="2"/>
      <scheme val="minor"/>
    </font>
    <font>
      <b/>
      <sz val="12"/>
      <color theme="1"/>
      <name val="Calibri"/>
      <family val="2"/>
      <scheme val="minor"/>
    </font>
    <font>
      <sz val="20"/>
      <color theme="1"/>
      <name val="Calibri"/>
      <family val="2"/>
      <scheme val="minor"/>
    </font>
    <font>
      <sz val="36"/>
      <color theme="1"/>
      <name val="Academy Engraved LET Plain:1.0"/>
    </font>
    <font>
      <sz val="11"/>
      <color rgb="FFFF0000"/>
      <name val="Calibri"/>
      <family val="2"/>
      <scheme val="minor"/>
    </font>
  </fonts>
  <fills count="4">
    <fill>
      <patternFill patternType="none"/>
    </fill>
    <fill>
      <patternFill patternType="gray125"/>
    </fill>
    <fill>
      <patternFill patternType="solid">
        <fgColor rgb="FF8C2523"/>
        <bgColor indexed="64"/>
      </patternFill>
    </fill>
    <fill>
      <patternFill patternType="solid">
        <fgColor rgb="FF912523"/>
        <bgColor indexed="64"/>
      </patternFill>
    </fill>
  </fills>
  <borders count="2">
    <border>
      <left/>
      <right/>
      <top/>
      <bottom/>
      <diagonal/>
    </border>
    <border>
      <left/>
      <right/>
      <top/>
      <bottom style="thin">
        <color indexed="64"/>
      </bottom>
      <diagonal/>
    </border>
  </borders>
  <cellStyleXfs count="1">
    <xf numFmtId="0" fontId="0" fillId="0" borderId="0"/>
  </cellStyleXfs>
  <cellXfs count="18">
    <xf numFmtId="0" fontId="0" fillId="0" borderId="0" xfId="0"/>
    <xf numFmtId="0" fontId="1" fillId="0" borderId="0" xfId="0" applyFont="1"/>
    <xf numFmtId="14" fontId="0" fillId="0" borderId="0" xfId="0" applyNumberFormat="1"/>
    <xf numFmtId="14" fontId="1" fillId="0" borderId="0" xfId="0" applyNumberFormat="1" applyFont="1"/>
    <xf numFmtId="164" fontId="1" fillId="0" borderId="0" xfId="0" applyNumberFormat="1" applyFont="1"/>
    <xf numFmtId="164" fontId="0" fillId="0" borderId="0" xfId="0" applyNumberFormat="1"/>
    <xf numFmtId="165" fontId="1" fillId="0" borderId="0" xfId="0" applyNumberFormat="1" applyFont="1"/>
    <xf numFmtId="165"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1" xfId="0" applyBorder="1"/>
    <xf numFmtId="0" fontId="0" fillId="2" borderId="0" xfId="0" applyFill="1"/>
    <xf numFmtId="0" fontId="4" fillId="3" borderId="0" xfId="0" applyFont="1" applyFill="1"/>
    <xf numFmtId="0" fontId="0" fillId="2" borderId="0" xfId="0" applyFill="1" applyAlignment="1">
      <alignment horizontal="center"/>
    </xf>
    <xf numFmtId="0" fontId="3" fillId="2" borderId="0" xfId="0" applyFont="1" applyFill="1" applyAlignment="1">
      <alignment horizontal="center"/>
    </xf>
    <xf numFmtId="0" fontId="2" fillId="2" borderId="0" xfId="0" applyFont="1" applyFill="1" applyAlignment="1">
      <alignment horizontal="center"/>
    </xf>
    <xf numFmtId="0" fontId="0" fillId="0" borderId="0" xfId="0" applyNumberFormat="1"/>
  </cellXfs>
  <cellStyles count="1">
    <cellStyle name="Normal" xfId="0" builtinId="0"/>
  </cellStyles>
  <dxfs count="5">
    <dxf>
      <numFmt numFmtId="0" formatCode="General"/>
    </dxf>
    <dxf>
      <numFmt numFmtId="165" formatCode="0\ &quot;km/h&quot;"/>
    </dxf>
    <dxf>
      <numFmt numFmtId="164" formatCode="h:mm:ss;@"/>
    </dxf>
    <dxf>
      <numFmt numFmtId="19" formatCode="dd/mm/yy"/>
    </dxf>
    <dxf>
      <font>
        <b/>
        <i val="0"/>
        <strike val="0"/>
        <condense val="0"/>
        <extend val="0"/>
        <outline val="0"/>
        <shadow val="0"/>
        <u val="none"/>
        <vertAlign val="baseline"/>
        <sz val="12"/>
        <color theme="1"/>
        <name val="Calibri"/>
        <family val="2"/>
        <scheme val="minor"/>
      </font>
    </dxf>
  </dxfs>
  <tableStyles count="0" defaultTableStyle="TableStyleMedium9" defaultPivotStyle="PivotStyleLight16"/>
  <colors>
    <mruColors>
      <color rgb="FF8C2523"/>
      <color rgb="FF611823"/>
      <color rgb="FF912523"/>
      <color rgb="FF470000"/>
      <color rgb="FF4F1413"/>
      <color rgb="FFC00000"/>
      <color rgb="FF380F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[kerala_accidents_2022_2026.xlsx]analysing!PivotTable1</c:name>
    <c:fmtId val="0"/>
  </c:pivotSource>
  <c:chart>
    <c:title>
      <c:tx>
        <c:rich>
          <a:bodyPr rot="0" spcFirstLastPara="1" vertOverflow="ellipsis" vert="horz" wrap="square" anchor="ctr" anchorCtr="1"/>
          <a:lstStyle/>
          <a:p>
            <a:pPr>
              <a:defRPr sz="1800" b="0" i="0" u="none" strike="noStrike" kern="1200" cap="none" spc="0" baseline="0">
                <a:ln w="0">
                  <a:solidFill>
                    <a:srgbClr val="611823"/>
                  </a:solidFill>
                </a:ln>
                <a:gradFill>
                  <a:gsLst>
                    <a:gs pos="21000">
                      <a:srgbClr val="53575C"/>
                    </a:gs>
                    <a:gs pos="88000">
                      <a:srgbClr val="C5C7CA"/>
                    </a:gs>
                  </a:gsLst>
                  <a:lin ang="5400000"/>
                </a:gradFill>
                <a:effectLst/>
                <a:latin typeface="+mn-lt"/>
                <a:ea typeface="+mn-ea"/>
                <a:cs typeface="+mn-cs"/>
              </a:defRPr>
            </a:pPr>
            <a:r>
              <a:rPr lang="en-US" b="1" cap="none" spc="50">
                <a:ln w="9525" cmpd="sng">
                  <a:solidFill>
                    <a:srgbClr val="912523"/>
                  </a:solidFill>
                  <a:prstDash val="solid"/>
                </a:ln>
                <a:solidFill>
                  <a:srgbClr val="70AD47">
                    <a:tint val="1000"/>
                  </a:srgbClr>
                </a:solidFill>
                <a:effectLst>
                  <a:glow rad="38100">
                    <a:schemeClr val="accent1">
                      <a:alpha val="40000"/>
                    </a:schemeClr>
                  </a:glow>
                </a:effectLst>
              </a:rPr>
              <a:t>Death in each district</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rgbClr val="611823"/>
                </a:solidFill>
              </a:ln>
              <a:gradFill>
                <a:gsLst>
                  <a:gs pos="21000">
                    <a:srgbClr val="53575C"/>
                  </a:gs>
                  <a:gs pos="88000">
                    <a:srgbClr val="C5C7CA"/>
                  </a:gs>
                </a:gsLst>
                <a:lin ang="5400000"/>
              </a:gradFill>
              <a:effectLst/>
              <a:latin typeface="+mn-lt"/>
              <a:ea typeface="+mn-ea"/>
              <a:cs typeface="+mn-cs"/>
            </a:defRPr>
          </a:pPr>
          <a:endParaRPr lang="en-US"/>
        </a:p>
      </c:txPr>
    </c:title>
    <c:autoTitleDeleted val="0"/>
    <c:pivotFmts>
      <c:pivotFmt>
        <c:idx val="0"/>
        <c:spPr>
          <a:solidFill>
            <a:srgbClr val="4F1413"/>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cap="none" spc="0" baseline="0">
                  <a:ln>
                    <a:solidFill>
                      <a:srgbClr val="C00000"/>
                    </a:solidFill>
                  </a:ln>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analysing!$B$9</c:f>
              <c:strCache>
                <c:ptCount val="1"/>
                <c:pt idx="0">
                  <c:v>Total</c:v>
                </c:pt>
              </c:strCache>
            </c:strRef>
          </c:tx>
          <c:spPr>
            <a:solidFill>
              <a:srgbClr val="4F1413"/>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cap="none" spc="0" baseline="0">
                    <a:ln>
                      <a:solidFill>
                        <a:srgbClr val="C00000"/>
                      </a:solidFill>
                    </a:ln>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analysing!$A$10:$A$20</c:f>
              <c:strCache>
                <c:ptCount val="10"/>
                <c:pt idx="0">
                  <c:v>Alappuzha</c:v>
                </c:pt>
                <c:pt idx="1">
                  <c:v>Ernakulam</c:v>
                </c:pt>
                <c:pt idx="2">
                  <c:v>Kannur</c:v>
                </c:pt>
                <c:pt idx="3">
                  <c:v>Kollam</c:v>
                </c:pt>
                <c:pt idx="4">
                  <c:v>Kottayam</c:v>
                </c:pt>
                <c:pt idx="5">
                  <c:v>Kozhikode</c:v>
                </c:pt>
                <c:pt idx="6">
                  <c:v>Malappuram</c:v>
                </c:pt>
                <c:pt idx="7">
                  <c:v>Palakkad</c:v>
                </c:pt>
                <c:pt idx="8">
                  <c:v>Thrissur</c:v>
                </c:pt>
                <c:pt idx="9">
                  <c:v>Trivandrum</c:v>
                </c:pt>
              </c:strCache>
            </c:strRef>
          </c:cat>
          <c:val>
            <c:numRef>
              <c:f>analysing!$B$10:$B$20</c:f>
              <c:numCache>
                <c:formatCode>General</c:formatCode>
                <c:ptCount val="10"/>
                <c:pt idx="0">
                  <c:v>75</c:v>
                </c:pt>
                <c:pt idx="1">
                  <c:v>101</c:v>
                </c:pt>
                <c:pt idx="2">
                  <c:v>104</c:v>
                </c:pt>
                <c:pt idx="3">
                  <c:v>109</c:v>
                </c:pt>
                <c:pt idx="4">
                  <c:v>88</c:v>
                </c:pt>
                <c:pt idx="5">
                  <c:v>94</c:v>
                </c:pt>
                <c:pt idx="6">
                  <c:v>94</c:v>
                </c:pt>
                <c:pt idx="7">
                  <c:v>89</c:v>
                </c:pt>
                <c:pt idx="8">
                  <c:v>121</c:v>
                </c:pt>
                <c:pt idx="9">
                  <c:v>106</c:v>
                </c:pt>
              </c:numCache>
            </c:numRef>
          </c:val>
          <c:extLst>
            <c:ext xmlns:c16="http://schemas.microsoft.com/office/drawing/2014/chart" uri="{C3380CC4-5D6E-409C-BE32-E72D297353CC}">
              <c16:uniqueId val="{00000000-37B8-2A44-9DE6-B1D920449839}"/>
            </c:ext>
          </c:extLst>
        </c:ser>
        <c:dLbls>
          <c:showLegendKey val="0"/>
          <c:showVal val="1"/>
          <c:showCatName val="0"/>
          <c:showSerName val="0"/>
          <c:showPercent val="0"/>
          <c:showBubbleSize val="0"/>
        </c:dLbls>
        <c:gapWidth val="84"/>
        <c:gapDepth val="53"/>
        <c:shape val="box"/>
        <c:axId val="1892106688"/>
        <c:axId val="1892108480"/>
        <c:axId val="0"/>
      </c:bar3DChart>
      <c:catAx>
        <c:axId val="1892106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a:solidFill>
                    <a:srgbClr val="C00000"/>
                  </a:solidFill>
                </a:ln>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892108480"/>
        <c:crosses val="autoZero"/>
        <c:auto val="1"/>
        <c:lblAlgn val="ctr"/>
        <c:lblOffset val="100"/>
        <c:noMultiLvlLbl val="0"/>
      </c:catAx>
      <c:valAx>
        <c:axId val="1892108480"/>
        <c:scaling>
          <c:orientation val="minMax"/>
        </c:scaling>
        <c:delete val="1"/>
        <c:axPos val="b"/>
        <c:numFmt formatCode="General" sourceLinked="1"/>
        <c:majorTickMark val="out"/>
        <c:minorTickMark val="none"/>
        <c:tickLblPos val="nextTo"/>
        <c:crossAx val="189210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a:solidFill>
                  <a:srgbClr val="C00000"/>
                </a:solidFill>
              </a:ln>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6350" cap="flat" cmpd="sng" algn="ctr">
      <a:solidFill>
        <a:schemeClr val="dk1">
          <a:tint val="75000"/>
        </a:schemeClr>
      </a:solidFill>
      <a:round/>
    </a:ln>
    <a:effectLst/>
  </c:spPr>
  <c:txPr>
    <a:bodyPr/>
    <a:lstStyle/>
    <a:p>
      <a:pPr>
        <a:defRPr b="0" cap="none" spc="0">
          <a:ln w="0">
            <a:solidFill>
              <a:srgbClr val="611823"/>
            </a:solidFill>
          </a:ln>
          <a:solidFill>
            <a:sysClr val="windowText" lastClr="000000"/>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[kerala_accidents_2022_2026.xlsx]analysing!PivotTable2</c:name>
    <c:fmtId val="0"/>
  </c:pivotSource>
  <c:chart>
    <c:autoTitleDeleted val="0"/>
    <c:pivotFmts>
      <c:pivotFmt>
        <c:idx val="0"/>
        <c:spPr>
          <a:solidFill>
            <a:srgbClr val="8C252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11823"/>
          </a:solidFill>
          <a:ln>
            <a:solidFill>
              <a:srgbClr val="611823"/>
            </a:solidFill>
          </a:ln>
          <a:effectLst/>
          <a:sp3d>
            <a:contourClr>
              <a:srgbClr val="611823"/>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8136482939632551E-2"/>
          <c:y val="7.407407407407407E-2"/>
          <c:w val="0.60938582677165354"/>
          <c:h val="0.8416746864975212"/>
        </c:manualLayout>
      </c:layout>
      <c:bar3DChart>
        <c:barDir val="col"/>
        <c:grouping val="stacked"/>
        <c:varyColors val="0"/>
        <c:ser>
          <c:idx val="0"/>
          <c:order val="0"/>
          <c:tx>
            <c:strRef>
              <c:f>analysing!$E$9</c:f>
              <c:strCache>
                <c:ptCount val="1"/>
                <c:pt idx="0">
                  <c:v>Count of Accident_ID</c:v>
                </c:pt>
              </c:strCache>
            </c:strRef>
          </c:tx>
          <c:spPr>
            <a:solidFill>
              <a:srgbClr val="8C2523"/>
            </a:solidFill>
            <a:ln>
              <a:noFill/>
            </a:ln>
            <a:effectLst/>
            <a:sp3d/>
          </c:spPr>
          <c:invertIfNegative val="0"/>
          <c:cat>
            <c:strRef>
              <c:f>analysing!$D$10:$D$15</c:f>
              <c:strCache>
                <c:ptCount val="5"/>
                <c:pt idx="0">
                  <c:v>Auto</c:v>
                </c:pt>
                <c:pt idx="1">
                  <c:v>Bike</c:v>
                </c:pt>
                <c:pt idx="2">
                  <c:v>Bus</c:v>
                </c:pt>
                <c:pt idx="3">
                  <c:v>Car</c:v>
                </c:pt>
                <c:pt idx="4">
                  <c:v>Truck</c:v>
                </c:pt>
              </c:strCache>
            </c:strRef>
          </c:cat>
          <c:val>
            <c:numRef>
              <c:f>analysing!$E$10:$E$15</c:f>
              <c:numCache>
                <c:formatCode>General</c:formatCode>
                <c:ptCount val="5"/>
                <c:pt idx="0">
                  <c:v>83</c:v>
                </c:pt>
                <c:pt idx="1">
                  <c:v>88</c:v>
                </c:pt>
                <c:pt idx="2">
                  <c:v>84</c:v>
                </c:pt>
                <c:pt idx="3">
                  <c:v>71</c:v>
                </c:pt>
                <c:pt idx="4">
                  <c:v>74</c:v>
                </c:pt>
              </c:numCache>
            </c:numRef>
          </c:val>
          <c:extLst>
            <c:ext xmlns:c16="http://schemas.microsoft.com/office/drawing/2014/chart" uri="{C3380CC4-5D6E-409C-BE32-E72D297353CC}">
              <c16:uniqueId val="{00000000-D4B6-8945-A390-7490092BB797}"/>
            </c:ext>
          </c:extLst>
        </c:ser>
        <c:ser>
          <c:idx val="1"/>
          <c:order val="1"/>
          <c:tx>
            <c:strRef>
              <c:f>analysing!$F$9</c:f>
              <c:strCache>
                <c:ptCount val="1"/>
                <c:pt idx="0">
                  <c:v>Sum of Injuries</c:v>
                </c:pt>
              </c:strCache>
            </c:strRef>
          </c:tx>
          <c:spPr>
            <a:solidFill>
              <a:srgbClr val="611823"/>
            </a:solidFill>
            <a:ln>
              <a:solidFill>
                <a:srgbClr val="611823"/>
              </a:solidFill>
            </a:ln>
            <a:effectLst/>
            <a:sp3d>
              <a:contourClr>
                <a:srgbClr val="611823"/>
              </a:contourClr>
            </a:sp3d>
          </c:spPr>
          <c:invertIfNegative val="0"/>
          <c:cat>
            <c:strRef>
              <c:f>analysing!$D$10:$D$15</c:f>
              <c:strCache>
                <c:ptCount val="5"/>
                <c:pt idx="0">
                  <c:v>Auto</c:v>
                </c:pt>
                <c:pt idx="1">
                  <c:v>Bike</c:v>
                </c:pt>
                <c:pt idx="2">
                  <c:v>Bus</c:v>
                </c:pt>
                <c:pt idx="3">
                  <c:v>Car</c:v>
                </c:pt>
                <c:pt idx="4">
                  <c:v>Truck</c:v>
                </c:pt>
              </c:strCache>
            </c:strRef>
          </c:cat>
          <c:val>
            <c:numRef>
              <c:f>analysing!$F$10:$F$15</c:f>
              <c:numCache>
                <c:formatCode>General</c:formatCode>
                <c:ptCount val="5"/>
                <c:pt idx="0">
                  <c:v>265</c:v>
                </c:pt>
                <c:pt idx="1">
                  <c:v>282</c:v>
                </c:pt>
                <c:pt idx="2">
                  <c:v>265</c:v>
                </c:pt>
                <c:pt idx="3">
                  <c:v>226</c:v>
                </c:pt>
                <c:pt idx="4">
                  <c:v>229</c:v>
                </c:pt>
              </c:numCache>
            </c:numRef>
          </c:val>
          <c:extLst>
            <c:ext xmlns:c16="http://schemas.microsoft.com/office/drawing/2014/chart" uri="{C3380CC4-5D6E-409C-BE32-E72D297353CC}">
              <c16:uniqueId val="{00000001-D4B6-8945-A390-7490092BB797}"/>
            </c:ext>
          </c:extLst>
        </c:ser>
        <c:dLbls>
          <c:showLegendKey val="0"/>
          <c:showVal val="0"/>
          <c:showCatName val="0"/>
          <c:showSerName val="0"/>
          <c:showPercent val="0"/>
          <c:showBubbleSize val="0"/>
        </c:dLbls>
        <c:gapWidth val="150"/>
        <c:shape val="box"/>
        <c:axId val="1899019584"/>
        <c:axId val="1924220224"/>
        <c:axId val="0"/>
      </c:bar3DChart>
      <c:catAx>
        <c:axId val="189901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C00000"/>
                  </a:solidFill>
                </a:ln>
                <a:solidFill>
                  <a:schemeClr val="tx1">
                    <a:lumMod val="65000"/>
                    <a:lumOff val="35000"/>
                  </a:schemeClr>
                </a:solidFill>
                <a:latin typeface="+mn-lt"/>
                <a:ea typeface="+mn-ea"/>
                <a:cs typeface="+mn-cs"/>
              </a:defRPr>
            </a:pPr>
            <a:endParaRPr lang="en-US"/>
          </a:p>
        </c:txPr>
        <c:crossAx val="1924220224"/>
        <c:crosses val="autoZero"/>
        <c:auto val="1"/>
        <c:lblAlgn val="ctr"/>
        <c:lblOffset val="100"/>
        <c:noMultiLvlLbl val="0"/>
      </c:catAx>
      <c:valAx>
        <c:axId val="192422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C00000"/>
                  </a:solidFill>
                </a:ln>
                <a:solidFill>
                  <a:schemeClr val="tx1">
                    <a:lumMod val="65000"/>
                    <a:lumOff val="35000"/>
                  </a:schemeClr>
                </a:solidFill>
                <a:latin typeface="+mn-lt"/>
                <a:ea typeface="+mn-ea"/>
                <a:cs typeface="+mn-cs"/>
              </a:defRPr>
            </a:pPr>
            <a:endParaRPr lang="en-US"/>
          </a:p>
        </c:txPr>
        <c:crossAx val="189901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rgbClr val="912523"/>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[kerala_accidents_2022_2026.xlsx]analysing!PivotTable3</c:name>
    <c:fmtId val="0"/>
  </c:pivotSource>
  <c:chart>
    <c:title>
      <c:tx>
        <c:rich>
          <a:bodyPr rot="0" spcFirstLastPara="1" vertOverflow="ellipsis" vert="horz" wrap="square" anchor="ctr" anchorCtr="1"/>
          <a:lstStyle/>
          <a:p>
            <a:pPr>
              <a:defRPr sz="1400" b="1" i="0" u="none" strike="noStrike" kern="1200" cap="none" spc="50" baseline="0">
                <a:ln w="9525" cmpd="sng">
                  <a:solidFill>
                    <a:srgbClr val="912523"/>
                  </a:solidFill>
                  <a:prstDash val="solid"/>
                </a:ln>
                <a:solidFill>
                  <a:srgbClr val="70AD47">
                    <a:tint val="1000"/>
                  </a:srgbClr>
                </a:solidFill>
                <a:effectLst>
                  <a:glow rad="38100">
                    <a:schemeClr val="accent1">
                      <a:alpha val="40000"/>
                    </a:schemeClr>
                  </a:glow>
                </a:effectLst>
                <a:latin typeface="+mn-lt"/>
                <a:ea typeface="+mn-ea"/>
                <a:cs typeface="+mn-cs"/>
              </a:defRPr>
            </a:pPr>
            <a:r>
              <a:rPr lang="en-GB" b="1" cap="none" spc="50">
                <a:ln w="9525" cmpd="sng">
                  <a:solidFill>
                    <a:srgbClr val="912523"/>
                  </a:solidFill>
                  <a:prstDash val="solid"/>
                </a:ln>
                <a:solidFill>
                  <a:srgbClr val="70AD47">
                    <a:tint val="1000"/>
                  </a:srgbClr>
                </a:solidFill>
                <a:effectLst>
                  <a:glow rad="38100">
                    <a:schemeClr val="accent1">
                      <a:alpha val="40000"/>
                    </a:schemeClr>
                  </a:glow>
                </a:effectLst>
              </a:rPr>
              <a:t>Year-Wise</a:t>
            </a:r>
            <a:r>
              <a:rPr lang="en-GB" b="1" cap="none" spc="50" baseline="0">
                <a:ln w="9525" cmpd="sng">
                  <a:solidFill>
                    <a:srgbClr val="912523"/>
                  </a:solidFill>
                  <a:prstDash val="solid"/>
                </a:ln>
                <a:solidFill>
                  <a:srgbClr val="70AD47">
                    <a:tint val="1000"/>
                  </a:srgbClr>
                </a:solidFill>
                <a:effectLst>
                  <a:glow rad="38100">
                    <a:schemeClr val="accent1">
                      <a:alpha val="40000"/>
                    </a:schemeClr>
                  </a:glow>
                </a:effectLst>
              </a:rPr>
              <a:t> Death Rate</a:t>
            </a:r>
            <a:endParaRPr lang="en-GB" b="1" cap="none" spc="50">
              <a:ln w="9525" cmpd="sng">
                <a:solidFill>
                  <a:srgbClr val="912523"/>
                </a:solidFill>
                <a:prstDash val="solid"/>
              </a:ln>
              <a:solidFill>
                <a:srgbClr val="70AD47">
                  <a:tint val="1000"/>
                </a:srgbClr>
              </a:solidFill>
              <a:effectLst>
                <a:glow rad="38100">
                  <a:schemeClr val="accent1">
                    <a:alpha val="40000"/>
                  </a:schemeClr>
                </a:glow>
              </a:effectLst>
            </a:endParaRPr>
          </a:p>
        </c:rich>
      </c:tx>
      <c:layout>
        <c:manualLayout>
          <c:xMode val="edge"/>
          <c:yMode val="edge"/>
          <c:x val="0.30477777777777776"/>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spc="50" baseline="0">
              <a:ln w="9525" cmpd="sng">
                <a:solidFill>
                  <a:srgbClr val="912523"/>
                </a:solidFill>
                <a:prstDash val="solid"/>
              </a:ln>
              <a:solidFill>
                <a:srgbClr val="70AD47">
                  <a:tint val="1000"/>
                </a:srgbClr>
              </a:solidFill>
              <a:effectLst>
                <a:glow rad="38100">
                  <a:schemeClr val="accent1">
                    <a:alpha val="40000"/>
                  </a:schemeClr>
                </a:glow>
              </a:effectLst>
              <a:latin typeface="+mn-lt"/>
              <a:ea typeface="+mn-ea"/>
              <a:cs typeface="+mn-cs"/>
            </a:defRPr>
          </a:pPr>
          <a:endParaRPr lang="en-US"/>
        </a:p>
      </c:txPr>
    </c:title>
    <c:autoTitleDeleted val="0"/>
    <c:pivotFmts>
      <c:pivotFmt>
        <c:idx val="0"/>
        <c:spPr>
          <a:ln w="28575" cap="rnd">
            <a:solidFill>
              <a:srgbClr val="8C25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analysing!$K$9</c:f>
              <c:strCache>
                <c:ptCount val="1"/>
                <c:pt idx="0">
                  <c:v>Total</c:v>
                </c:pt>
              </c:strCache>
            </c:strRef>
          </c:tx>
          <c:spPr>
            <a:ln w="28575" cap="rnd">
              <a:solidFill>
                <a:srgbClr val="8C2523"/>
              </a:solidFill>
              <a:round/>
            </a:ln>
            <a:effectLst/>
          </c:spPr>
          <c:marker>
            <c:symbol val="none"/>
          </c:marker>
          <c:cat>
            <c:strRef>
              <c:f>analysing!$J$10:$J$15</c:f>
              <c:strCache>
                <c:ptCount val="5"/>
                <c:pt idx="0">
                  <c:v>2022</c:v>
                </c:pt>
                <c:pt idx="1">
                  <c:v>2023</c:v>
                </c:pt>
                <c:pt idx="2">
                  <c:v>2024</c:v>
                </c:pt>
                <c:pt idx="3">
                  <c:v>2025</c:v>
                </c:pt>
                <c:pt idx="4">
                  <c:v>2026</c:v>
                </c:pt>
              </c:strCache>
            </c:strRef>
          </c:cat>
          <c:val>
            <c:numRef>
              <c:f>analysing!$K$10:$K$15</c:f>
              <c:numCache>
                <c:formatCode>General</c:formatCode>
                <c:ptCount val="5"/>
                <c:pt idx="0">
                  <c:v>243</c:v>
                </c:pt>
                <c:pt idx="1">
                  <c:v>232</c:v>
                </c:pt>
                <c:pt idx="2">
                  <c:v>297</c:v>
                </c:pt>
                <c:pt idx="3">
                  <c:v>191</c:v>
                </c:pt>
                <c:pt idx="4">
                  <c:v>18</c:v>
                </c:pt>
              </c:numCache>
            </c:numRef>
          </c:val>
          <c:smooth val="0"/>
          <c:extLst>
            <c:ext xmlns:c16="http://schemas.microsoft.com/office/drawing/2014/chart" uri="{C3380CC4-5D6E-409C-BE32-E72D297353CC}">
              <c16:uniqueId val="{00000000-B295-9746-81DD-C69FF80B4062}"/>
            </c:ext>
          </c:extLst>
        </c:ser>
        <c:dLbls>
          <c:showLegendKey val="0"/>
          <c:showVal val="0"/>
          <c:showCatName val="0"/>
          <c:showSerName val="0"/>
          <c:showPercent val="0"/>
          <c:showBubbleSize val="0"/>
        </c:dLbls>
        <c:smooth val="0"/>
        <c:axId val="1924563840"/>
        <c:axId val="1924568768"/>
      </c:lineChart>
      <c:catAx>
        <c:axId val="192456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C00000"/>
                  </a:solidFill>
                </a:ln>
                <a:solidFill>
                  <a:schemeClr val="tx1">
                    <a:lumMod val="65000"/>
                    <a:lumOff val="35000"/>
                  </a:schemeClr>
                </a:solidFill>
                <a:latin typeface="+mn-lt"/>
                <a:ea typeface="+mn-ea"/>
                <a:cs typeface="+mn-cs"/>
              </a:defRPr>
            </a:pPr>
            <a:endParaRPr lang="en-US"/>
          </a:p>
        </c:txPr>
        <c:crossAx val="1924568768"/>
        <c:crosses val="autoZero"/>
        <c:auto val="1"/>
        <c:lblAlgn val="ctr"/>
        <c:lblOffset val="100"/>
        <c:noMultiLvlLbl val="0"/>
      </c:catAx>
      <c:valAx>
        <c:axId val="192456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C00000"/>
            </a:solidFill>
          </a:ln>
          <a:effectLst/>
        </c:spPr>
        <c:txPr>
          <a:bodyPr rot="-60000000" spcFirstLastPara="1" vertOverflow="ellipsis" vert="horz" wrap="square" anchor="ctr" anchorCtr="1"/>
          <a:lstStyle/>
          <a:p>
            <a:pPr>
              <a:defRPr sz="900" b="0" i="0" u="none" strike="noStrike" kern="1200" baseline="0">
                <a:ln>
                  <a:solidFill>
                    <a:srgbClr val="C00000"/>
                  </a:solidFill>
                </a:ln>
                <a:solidFill>
                  <a:schemeClr val="tx1">
                    <a:lumMod val="65000"/>
                    <a:lumOff val="35000"/>
                  </a:schemeClr>
                </a:solidFill>
                <a:latin typeface="+mn-lt"/>
                <a:ea typeface="+mn-ea"/>
                <a:cs typeface="+mn-cs"/>
              </a:defRPr>
            </a:pPr>
            <a:endParaRPr lang="en-US"/>
          </a:p>
        </c:txPr>
        <c:crossAx val="192456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9525" cmpd="sng">
                <a:solidFill>
                  <a:srgbClr val="912523"/>
                </a:solidFill>
                <a:prstDash val="solid"/>
              </a:ln>
              <a:solidFill>
                <a:srgbClr val="70AD47">
                  <a:tint val="1000"/>
                </a:srgbClr>
              </a:solidFill>
              <a:effectLst>
                <a:glow rad="38100">
                  <a:schemeClr val="accent1">
                    <a:alpha val="40000"/>
                  </a:schemeClr>
                </a:glo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[kerala_accidents_2022_2026.xlsx]analysing!PivotTable6</c:name>
    <c:fmtId val="0"/>
  </c:pivotSource>
  <c:chart>
    <c:title>
      <c:tx>
        <c:rich>
          <a:bodyPr rot="0" spcFirstLastPara="1" vertOverflow="ellipsis" vert="horz" wrap="square" anchor="ctr" anchorCtr="1"/>
          <a:lstStyle/>
          <a:p>
            <a:pPr>
              <a:defRPr sz="1400" b="1" i="0" u="none" strike="noStrike" kern="1200" cap="none" spc="50" baseline="0">
                <a:ln w="9525" cmpd="sng">
                  <a:solidFill>
                    <a:srgbClr val="912523"/>
                  </a:solidFill>
                  <a:prstDash val="solid"/>
                </a:ln>
                <a:solidFill>
                  <a:srgbClr val="70AD47">
                    <a:tint val="1000"/>
                  </a:srgbClr>
                </a:solidFill>
                <a:effectLst>
                  <a:glow rad="38100">
                    <a:schemeClr val="accent1">
                      <a:alpha val="40000"/>
                    </a:schemeClr>
                  </a:glow>
                </a:effectLst>
                <a:latin typeface="+mn-lt"/>
                <a:ea typeface="+mn-ea"/>
                <a:cs typeface="+mn-cs"/>
              </a:defRPr>
            </a:pPr>
            <a:r>
              <a:rPr lang="en-GB" b="1" cap="none" spc="50">
                <a:ln w="9525" cmpd="sng">
                  <a:solidFill>
                    <a:srgbClr val="912523"/>
                  </a:solidFill>
                  <a:prstDash val="solid"/>
                </a:ln>
                <a:solidFill>
                  <a:srgbClr val="70AD47">
                    <a:tint val="1000"/>
                  </a:srgbClr>
                </a:solidFill>
                <a:effectLst>
                  <a:glow rad="38100">
                    <a:schemeClr val="accent1">
                      <a:alpha val="40000"/>
                    </a:schemeClr>
                  </a:glow>
                </a:effectLst>
              </a:rPr>
              <a:t>Good</a:t>
            </a:r>
            <a:r>
              <a:rPr lang="en-GB" b="1" cap="none" spc="50" baseline="0">
                <a:ln w="9525" cmpd="sng">
                  <a:solidFill>
                    <a:srgbClr val="912523"/>
                  </a:solidFill>
                  <a:prstDash val="solid"/>
                </a:ln>
                <a:solidFill>
                  <a:srgbClr val="70AD47">
                    <a:tint val="1000"/>
                  </a:srgbClr>
                </a:solidFill>
                <a:effectLst>
                  <a:glow rad="38100">
                    <a:schemeClr val="accent1">
                      <a:alpha val="40000"/>
                    </a:schemeClr>
                  </a:glow>
                </a:effectLst>
              </a:rPr>
              <a:t> for weather distribution</a:t>
            </a:r>
            <a:endParaRPr lang="en-GB" b="1" cap="none" spc="50">
              <a:ln w="9525" cmpd="sng">
                <a:solidFill>
                  <a:srgbClr val="912523"/>
                </a:solidFill>
                <a:prstDash val="solid"/>
              </a:ln>
              <a:solidFill>
                <a:srgbClr val="70AD47">
                  <a:tint val="1000"/>
                </a:srgbClr>
              </a:solidFill>
              <a:effectLst>
                <a:glow rad="38100">
                  <a:schemeClr val="accent1">
                    <a:alpha val="40000"/>
                  </a:schemeClr>
                </a:glow>
              </a:effectLst>
            </a:endParaRPr>
          </a:p>
        </c:rich>
      </c:tx>
      <c:overlay val="0"/>
      <c:spPr>
        <a:noFill/>
        <a:ln>
          <a:noFill/>
        </a:ln>
        <a:effectLst/>
      </c:spPr>
      <c:txPr>
        <a:bodyPr rot="0" spcFirstLastPara="1" vertOverflow="ellipsis" vert="horz" wrap="square" anchor="ctr" anchorCtr="1"/>
        <a:lstStyle/>
        <a:p>
          <a:pPr>
            <a:defRPr sz="1400" b="1" i="0" u="none" strike="noStrike" kern="1200" cap="none" spc="50" baseline="0">
              <a:ln w="9525" cmpd="sng">
                <a:solidFill>
                  <a:srgbClr val="912523"/>
                </a:solidFill>
                <a:prstDash val="solid"/>
              </a:ln>
              <a:solidFill>
                <a:srgbClr val="70AD47">
                  <a:tint val="1000"/>
                </a:srgbClr>
              </a:solidFill>
              <a:effectLst>
                <a:glow rad="38100">
                  <a:schemeClr val="accent1">
                    <a:alpha val="40000"/>
                  </a:schemeClr>
                </a:glow>
              </a:effectLst>
              <a:latin typeface="+mn-lt"/>
              <a:ea typeface="+mn-ea"/>
              <a:cs typeface="+mn-cs"/>
            </a:defRPr>
          </a:pPr>
          <a:endParaRPr lang="en-US"/>
        </a:p>
      </c:txPr>
    </c:title>
    <c:autoTitleDeleted val="0"/>
    <c:pivotFmts>
      <c:pivotFmt>
        <c:idx val="0"/>
        <c:spPr>
          <a:solidFill>
            <a:schemeClr val="tx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70000"/>
          </a:solidFill>
          <a:ln w="25400">
            <a:solidFill>
              <a:schemeClr val="lt1"/>
            </a:solidFill>
          </a:ln>
          <a:effectLst/>
          <a:sp3d contourW="25400">
            <a:contourClr>
              <a:schemeClr val="lt1"/>
            </a:contourClr>
          </a:sp3d>
        </c:spPr>
      </c:pivotFmt>
      <c:pivotFmt>
        <c:idx val="2"/>
        <c:spPr>
          <a:solidFill>
            <a:schemeClr val="accent2">
              <a:lumMod val="75000"/>
            </a:schemeClr>
          </a:solidFill>
          <a:ln w="25400">
            <a:solidFill>
              <a:schemeClr val="lt1"/>
            </a:solidFill>
          </a:ln>
          <a:effectLst/>
          <a:sp3d contourW="25400">
            <a:contourClr>
              <a:schemeClr val="lt1"/>
            </a:contourClr>
          </a:sp3d>
        </c:spPr>
      </c:pivotFmt>
      <c:pivotFmt>
        <c:idx val="3"/>
        <c:spPr>
          <a:solidFill>
            <a:schemeClr val="accent2">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analysing!$N$11</c:f>
              <c:strCache>
                <c:ptCount val="1"/>
                <c:pt idx="0">
                  <c:v>Total</c:v>
                </c:pt>
              </c:strCache>
            </c:strRef>
          </c:tx>
          <c:spPr>
            <a:solidFill>
              <a:schemeClr val="tx1"/>
            </a:solidFill>
          </c:spPr>
          <c:dPt>
            <c:idx val="0"/>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CFD1-0C47-80B0-CE11D22747A3}"/>
              </c:ext>
            </c:extLst>
          </c:dPt>
          <c:dPt>
            <c:idx val="1"/>
            <c:bubble3D val="0"/>
            <c:spPr>
              <a:solidFill>
                <a:srgbClr val="47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2-CFD1-0C47-80B0-CE11D22747A3}"/>
              </c:ext>
            </c:extLst>
          </c:dPt>
          <c:dPt>
            <c:idx val="2"/>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CFD1-0C47-80B0-CE11D22747A3}"/>
              </c:ext>
            </c:extLst>
          </c:dPt>
          <c:cat>
            <c:strRef>
              <c:f>analysing!$M$12:$M$15</c:f>
              <c:strCache>
                <c:ptCount val="3"/>
                <c:pt idx="0">
                  <c:v>Clear</c:v>
                </c:pt>
                <c:pt idx="1">
                  <c:v>Fog</c:v>
                </c:pt>
                <c:pt idx="2">
                  <c:v>Rain</c:v>
                </c:pt>
              </c:strCache>
            </c:strRef>
          </c:cat>
          <c:val>
            <c:numRef>
              <c:f>analysing!$N$12:$N$15</c:f>
              <c:numCache>
                <c:formatCode>General</c:formatCode>
                <c:ptCount val="3"/>
                <c:pt idx="0">
                  <c:v>265</c:v>
                </c:pt>
                <c:pt idx="1">
                  <c:v>383</c:v>
                </c:pt>
                <c:pt idx="2">
                  <c:v>333</c:v>
                </c:pt>
              </c:numCache>
            </c:numRef>
          </c:val>
          <c:extLst>
            <c:ext xmlns:c16="http://schemas.microsoft.com/office/drawing/2014/chart" uri="{C3380CC4-5D6E-409C-BE32-E72D297353CC}">
              <c16:uniqueId val="{00000000-CFD1-0C47-80B0-CE11D22747A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solidFill>
            <a:schemeClr val="accent2"/>
          </a:solidFill>
        </a:ln>
        <a:effectLst/>
      </c:spPr>
      <c:txPr>
        <a:bodyPr rot="0" spcFirstLastPara="1" vertOverflow="ellipsis" vert="horz" wrap="square" anchor="ctr" anchorCtr="1"/>
        <a:lstStyle/>
        <a:p>
          <a:pPr>
            <a:defRPr sz="900" b="0" i="0" u="none" strike="noStrike" kern="1200" cap="none" spc="0" baseline="0">
              <a:ln w="0">
                <a:solidFill>
                  <a:srgbClr val="C00000"/>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[kerala_accidents_2022_2026.xlsx]analysing!PivotTable15</c:name>
    <c:fmtId val="0"/>
  </c:pivotSource>
  <c:chart>
    <c:title>
      <c:tx>
        <c:rich>
          <a:bodyPr rot="0" spcFirstLastPara="1" vertOverflow="ellipsis" vert="horz" wrap="square" anchor="ctr" anchorCtr="1"/>
          <a:lstStyle/>
          <a:p>
            <a:pPr>
              <a:defRPr sz="1400" b="1" i="0" u="none" strike="noStrike" kern="1200"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mn-lt"/>
                <a:ea typeface="+mn-ea"/>
                <a:cs typeface="+mn-cs"/>
              </a:defRPr>
            </a:pPr>
            <a:r>
              <a:rPr lang="en-US" b="1" cap="none" spc="0">
                <a:ln w="6600">
                  <a:solidFill>
                    <a:schemeClr val="accent2"/>
                  </a:solidFill>
                  <a:prstDash val="solid"/>
                </a:ln>
                <a:solidFill>
                  <a:srgbClr val="FFFFFF"/>
                </a:solidFill>
                <a:effectLst>
                  <a:outerShdw dist="38100" dir="2700000" algn="tl" rotWithShape="0">
                    <a:schemeClr val="accent2"/>
                  </a:outerShdw>
                </a:effectLst>
              </a:rPr>
              <a:t>Rural</a:t>
            </a:r>
            <a:r>
              <a:rPr lang="en-US" b="1" cap="none" spc="0" baseline="0">
                <a:ln w="6600">
                  <a:solidFill>
                    <a:schemeClr val="accent2"/>
                  </a:solidFill>
                  <a:prstDash val="solid"/>
                </a:ln>
                <a:solidFill>
                  <a:srgbClr val="FFFFFF"/>
                </a:solidFill>
                <a:effectLst>
                  <a:outerShdw dist="38100" dir="2700000" algn="tl" rotWithShape="0">
                    <a:schemeClr val="accent2"/>
                  </a:outerShdw>
                </a:effectLst>
              </a:rPr>
              <a:t> v/s Urban</a:t>
            </a:r>
            <a:endParaRPr lang="en-US" b="1" cap="none" spc="0">
              <a:ln w="6600">
                <a:solidFill>
                  <a:schemeClr val="accent2"/>
                </a:solidFill>
                <a:prstDash val="solid"/>
              </a:ln>
              <a:solidFill>
                <a:srgbClr val="FFFFFF"/>
              </a:solidFill>
              <a:effectLst>
                <a:outerShdw dist="38100" dir="2700000" algn="tl" rotWithShape="0">
                  <a:schemeClr val="accent2"/>
                </a:outerShdw>
              </a:effectLst>
            </a:endParaRPr>
          </a:p>
        </c:rich>
      </c:tx>
      <c:overlay val="0"/>
      <c:spPr>
        <a:noFill/>
        <a:ln>
          <a:noFill/>
        </a:ln>
        <a:effectLst/>
      </c:spPr>
      <c:txPr>
        <a:bodyPr rot="0" spcFirstLastPara="1" vertOverflow="ellipsis" vert="horz" wrap="square" anchor="ctr" anchorCtr="1"/>
        <a:lstStyle/>
        <a:p>
          <a:pPr>
            <a:defRPr sz="1400" b="1" i="0" u="none" strike="noStrike" kern="1200"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12523"/>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analysing!$Q$23</c:f>
              <c:strCache>
                <c:ptCount val="1"/>
                <c:pt idx="0">
                  <c:v>Total</c:v>
                </c:pt>
              </c:strCache>
            </c:strRef>
          </c:tx>
          <c:dPt>
            <c:idx val="0"/>
            <c:bubble3D val="0"/>
            <c:spPr>
              <a:solidFill>
                <a:srgbClr val="912523"/>
              </a:solidFill>
              <a:ln w="19050">
                <a:solidFill>
                  <a:schemeClr val="lt1"/>
                </a:solidFill>
              </a:ln>
              <a:effectLst/>
            </c:spPr>
            <c:extLst>
              <c:ext xmlns:c16="http://schemas.microsoft.com/office/drawing/2014/chart" uri="{C3380CC4-5D6E-409C-BE32-E72D297353CC}">
                <c16:uniqueId val="{00000002-0F81-5843-8C1E-330F50720F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5F-1043-9A38-8A5E02E2BF3F}"/>
              </c:ext>
            </c:extLst>
          </c:dPt>
          <c:cat>
            <c:strRef>
              <c:f>analysing!$P$24:$P$26</c:f>
              <c:strCache>
                <c:ptCount val="2"/>
                <c:pt idx="0">
                  <c:v>Rural</c:v>
                </c:pt>
                <c:pt idx="1">
                  <c:v>Urban</c:v>
                </c:pt>
              </c:strCache>
            </c:strRef>
          </c:cat>
          <c:val>
            <c:numRef>
              <c:f>analysing!$Q$24:$Q$26</c:f>
              <c:numCache>
                <c:formatCode>General</c:formatCode>
                <c:ptCount val="2"/>
                <c:pt idx="0">
                  <c:v>509</c:v>
                </c:pt>
                <c:pt idx="1">
                  <c:v>472</c:v>
                </c:pt>
              </c:numCache>
            </c:numRef>
          </c:val>
          <c:extLst>
            <c:ext xmlns:c16="http://schemas.microsoft.com/office/drawing/2014/chart" uri="{C3380CC4-5D6E-409C-BE32-E72D297353CC}">
              <c16:uniqueId val="{00000000-0F81-5843-8C1E-330F50720F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rgbClr val="C00000"/>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[kerala_accidents_2022_2026.xlsx]analysing!PivotTable5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cap="none" spc="0">
                <a:ln w="10160">
                  <a:solidFill>
                    <a:srgbClr val="912523"/>
                  </a:solidFill>
                  <a:prstDash val="solid"/>
                </a:ln>
                <a:solidFill>
                  <a:srgbClr val="FFFFFF"/>
                </a:solidFill>
                <a:effectLst>
                  <a:outerShdw blurRad="38100" dist="22860" dir="5400000" algn="tl" rotWithShape="0">
                    <a:srgbClr val="000000">
                      <a:alpha val="30000"/>
                    </a:srgbClr>
                  </a:outerShdw>
                </a:effectLst>
              </a:rPr>
              <a:t>Reason</a:t>
            </a:r>
            <a:r>
              <a:rPr lang="en-US" baseline="0">
                <a:ln>
                  <a:solidFill>
                    <a:srgbClr val="912523"/>
                  </a:solidFill>
                </a:ln>
              </a:rPr>
              <a:t> </a:t>
            </a:r>
            <a:r>
              <a:rPr lang="en-US" b="1" cap="none" spc="0" baseline="0">
                <a:ln w="10160">
                  <a:solidFill>
                    <a:srgbClr val="912523"/>
                  </a:solidFill>
                  <a:prstDash val="solid"/>
                </a:ln>
                <a:solidFill>
                  <a:srgbClr val="FFFFFF"/>
                </a:solidFill>
                <a:effectLst>
                  <a:outerShdw blurRad="38100" dist="22860" dir="5400000" algn="tl" rotWithShape="0">
                    <a:srgbClr val="000000">
                      <a:alpha val="30000"/>
                    </a:srgbClr>
                  </a:outerShdw>
                </a:effectLst>
              </a:rPr>
              <a:t>of accident</a:t>
            </a:r>
            <a:endParaRPr lang="en-US">
              <a:ln w="10160">
                <a:solidFill>
                  <a:srgbClr val="912523"/>
                </a:solidFill>
                <a:prstDash val="solid"/>
              </a:ln>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118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analysing!$H$21</c:f>
              <c:strCache>
                <c:ptCount val="1"/>
                <c:pt idx="0">
                  <c:v>Total</c:v>
                </c:pt>
              </c:strCache>
            </c:strRef>
          </c:tx>
          <c:spPr>
            <a:solidFill>
              <a:srgbClr val="611823"/>
            </a:solidFill>
            <a:ln>
              <a:noFill/>
            </a:ln>
            <a:effectLst/>
          </c:spPr>
          <c:invertIfNegative val="0"/>
          <c:cat>
            <c:strRef>
              <c:f>analysing!$G$22:$G$26</c:f>
              <c:strCache>
                <c:ptCount val="4"/>
                <c:pt idx="0">
                  <c:v>Brake Failure</c:v>
                </c:pt>
                <c:pt idx="1">
                  <c:v>Distraction</c:v>
                </c:pt>
                <c:pt idx="2">
                  <c:v>Drunk Driving</c:v>
                </c:pt>
                <c:pt idx="3">
                  <c:v>Over-speeding</c:v>
                </c:pt>
              </c:strCache>
            </c:strRef>
          </c:cat>
          <c:val>
            <c:numRef>
              <c:f>analysing!$H$22:$H$26</c:f>
              <c:numCache>
                <c:formatCode>General</c:formatCode>
                <c:ptCount val="4"/>
                <c:pt idx="0">
                  <c:v>258</c:v>
                </c:pt>
                <c:pt idx="1">
                  <c:v>261</c:v>
                </c:pt>
                <c:pt idx="2">
                  <c:v>224</c:v>
                </c:pt>
                <c:pt idx="3">
                  <c:v>238</c:v>
                </c:pt>
              </c:numCache>
            </c:numRef>
          </c:val>
          <c:extLst>
            <c:ext xmlns:c16="http://schemas.microsoft.com/office/drawing/2014/chart" uri="{C3380CC4-5D6E-409C-BE32-E72D297353CC}">
              <c16:uniqueId val="{00000000-7715-A843-83ED-E33E823CEF04}"/>
            </c:ext>
          </c:extLst>
        </c:ser>
        <c:dLbls>
          <c:showLegendKey val="0"/>
          <c:showVal val="0"/>
          <c:showCatName val="0"/>
          <c:showSerName val="0"/>
          <c:showPercent val="0"/>
          <c:showBubbleSize val="0"/>
        </c:dLbls>
        <c:gapWidth val="219"/>
        <c:overlap val="-27"/>
        <c:axId val="1949205376"/>
        <c:axId val="1950316096"/>
      </c:barChart>
      <c:catAx>
        <c:axId val="194920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C00000"/>
                  </a:solidFill>
                </a:ln>
                <a:solidFill>
                  <a:schemeClr val="tx1">
                    <a:lumMod val="65000"/>
                    <a:lumOff val="35000"/>
                  </a:schemeClr>
                </a:solidFill>
                <a:latin typeface="+mn-lt"/>
                <a:ea typeface="+mn-ea"/>
                <a:cs typeface="+mn-cs"/>
              </a:defRPr>
            </a:pPr>
            <a:endParaRPr lang="en-US"/>
          </a:p>
        </c:txPr>
        <c:crossAx val="1950316096"/>
        <c:crosses val="autoZero"/>
        <c:auto val="1"/>
        <c:lblAlgn val="ctr"/>
        <c:lblOffset val="100"/>
        <c:noMultiLvlLbl val="0"/>
      </c:catAx>
      <c:valAx>
        <c:axId val="195031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C00000"/>
                  </a:solidFill>
                </a:ln>
                <a:solidFill>
                  <a:schemeClr val="tx1">
                    <a:lumMod val="65000"/>
                    <a:lumOff val="35000"/>
                  </a:schemeClr>
                </a:solidFill>
                <a:latin typeface="+mn-lt"/>
                <a:ea typeface="+mn-ea"/>
                <a:cs typeface="+mn-cs"/>
              </a:defRPr>
            </a:pPr>
            <a:endParaRPr lang="en-US"/>
          </a:p>
        </c:txPr>
        <c:crossAx val="194920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rgbClr val="C00000"/>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[kerala_accidents_2022_2026.xlsx]analysing!PivotTable4</c:name>
    <c:fmtId val="0"/>
  </c:pivotSource>
  <c:chart>
    <c:title>
      <c:tx>
        <c:rich>
          <a:bodyPr rot="0" spcFirstLastPara="1" vertOverflow="ellipsis" vert="horz" wrap="square" anchor="ctr" anchorCtr="1"/>
          <a:lstStyle/>
          <a:p>
            <a:pPr>
              <a:defRPr sz="1600" b="0" i="0" u="none" strike="noStrike" kern="1200" cap="none" spc="50" baseline="0">
                <a:ln w="9525" cmpd="sng">
                  <a:solidFill>
                    <a:srgbClr val="912523"/>
                  </a:solidFill>
                  <a:prstDash val="solid"/>
                </a:ln>
                <a:solidFill>
                  <a:schemeClr val="tx1">
                    <a:lumMod val="65000"/>
                    <a:lumOff val="35000"/>
                  </a:schemeClr>
                </a:solidFill>
                <a:latin typeface="+mn-lt"/>
                <a:ea typeface="+mn-ea"/>
                <a:cs typeface="+mn-cs"/>
              </a:defRPr>
            </a:pPr>
            <a:r>
              <a:rPr lang="en-US" b="1" cap="none" spc="50">
                <a:ln w="9525" cmpd="sng">
                  <a:solidFill>
                    <a:srgbClr val="912523"/>
                  </a:solidFill>
                  <a:prstDash val="solid"/>
                </a:ln>
                <a:solidFill>
                  <a:srgbClr val="70AD47">
                    <a:tint val="1000"/>
                  </a:srgbClr>
                </a:solidFill>
                <a:effectLst>
                  <a:glow rad="38100">
                    <a:schemeClr val="accent1">
                      <a:alpha val="40000"/>
                    </a:schemeClr>
                  </a:glow>
                </a:effectLst>
              </a:rPr>
              <a:t>Age distrivution</a:t>
            </a:r>
          </a:p>
        </c:rich>
      </c:tx>
      <c:layout>
        <c:manualLayout>
          <c:xMode val="edge"/>
          <c:yMode val="edge"/>
          <c:x val="0.33541666666666664"/>
          <c:y val="3.2407407407407406E-2"/>
        </c:manualLayout>
      </c:layout>
      <c:overlay val="0"/>
      <c:spPr>
        <a:solidFill>
          <a:schemeClr val="tx1"/>
        </a:solidFill>
        <a:ln>
          <a:noFill/>
        </a:ln>
        <a:effectLst/>
      </c:spPr>
      <c:txPr>
        <a:bodyPr rot="0" spcFirstLastPara="1" vertOverflow="ellipsis" vert="horz" wrap="square" anchor="ctr" anchorCtr="1"/>
        <a:lstStyle/>
        <a:p>
          <a:pPr>
            <a:defRPr sz="1600" b="0" i="0" u="none" strike="noStrike" kern="1200" cap="none" spc="50" baseline="0">
              <a:ln w="9525" cmpd="sng">
                <a:solidFill>
                  <a:srgbClr val="912523"/>
                </a:solidFill>
                <a:prstDash val="solid"/>
              </a:ln>
              <a:solidFill>
                <a:schemeClr val="tx1">
                  <a:lumMod val="65000"/>
                  <a:lumOff val="35000"/>
                </a:schemeClr>
              </a:solidFill>
              <a:latin typeface="+mn-lt"/>
              <a:ea typeface="+mn-ea"/>
              <a:cs typeface="+mn-cs"/>
            </a:defRPr>
          </a:pPr>
          <a:endParaRPr lang="en-US"/>
        </a:p>
      </c:txPr>
    </c:title>
    <c:autoTitleDeleted val="0"/>
    <c:pivotFmts>
      <c:pivotFmt>
        <c:idx val="0"/>
        <c:spPr>
          <a:solidFill>
            <a:srgbClr val="611823"/>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solidFill>
          <a:schemeClr val="accent2">
            <a:lumMod val="75000"/>
          </a:schemeClr>
        </a:solidFill>
        <a:ln>
          <a:noFill/>
        </a:ln>
        <a:effectLst/>
        <a:sp3d/>
      </c:spPr>
    </c:sideWall>
    <c:backWall>
      <c:thickness val="0"/>
      <c:spPr>
        <a:solidFill>
          <a:schemeClr val="accent2">
            <a:lumMod val="75000"/>
          </a:schemeClr>
        </a:solidFill>
        <a:ln>
          <a:noFill/>
        </a:ln>
        <a:effectLst/>
        <a:sp3d/>
      </c:spPr>
    </c:backWall>
    <c:plotArea>
      <c:layout/>
      <c:bar3DChart>
        <c:barDir val="bar"/>
        <c:grouping val="clustered"/>
        <c:varyColors val="0"/>
        <c:ser>
          <c:idx val="0"/>
          <c:order val="0"/>
          <c:tx>
            <c:strRef>
              <c:f>analysing!$E$21</c:f>
              <c:strCache>
                <c:ptCount val="1"/>
                <c:pt idx="0">
                  <c:v>Total</c:v>
                </c:pt>
              </c:strCache>
            </c:strRef>
          </c:tx>
          <c:spPr>
            <a:solidFill>
              <a:srgbClr val="611823"/>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analysing!$D$22:$D$25</c:f>
              <c:strCache>
                <c:ptCount val="3"/>
                <c:pt idx="0">
                  <c:v>18-27</c:v>
                </c:pt>
                <c:pt idx="1">
                  <c:v>28-38</c:v>
                </c:pt>
                <c:pt idx="2">
                  <c:v>&gt;38</c:v>
                </c:pt>
              </c:strCache>
            </c:strRef>
          </c:cat>
          <c:val>
            <c:numRef>
              <c:f>analysing!$E$22:$E$25</c:f>
              <c:numCache>
                <c:formatCode>General</c:formatCode>
                <c:ptCount val="3"/>
                <c:pt idx="0">
                  <c:v>181</c:v>
                </c:pt>
                <c:pt idx="1">
                  <c:v>253</c:v>
                </c:pt>
                <c:pt idx="2">
                  <c:v>547</c:v>
                </c:pt>
              </c:numCache>
            </c:numRef>
          </c:val>
          <c:extLst>
            <c:ext xmlns:c16="http://schemas.microsoft.com/office/drawing/2014/chart" uri="{C3380CC4-5D6E-409C-BE32-E72D297353CC}">
              <c16:uniqueId val="{00000000-3B16-2C4F-B172-92163E73F3BC}"/>
            </c:ext>
          </c:extLst>
        </c:ser>
        <c:dLbls>
          <c:showLegendKey val="0"/>
          <c:showVal val="0"/>
          <c:showCatName val="0"/>
          <c:showSerName val="0"/>
          <c:showPercent val="0"/>
          <c:showBubbleSize val="0"/>
        </c:dLbls>
        <c:gapWidth val="150"/>
        <c:shape val="box"/>
        <c:axId val="1942827711"/>
        <c:axId val="1942829503"/>
        <c:axId val="0"/>
      </c:bar3DChart>
      <c:catAx>
        <c:axId val="194282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rgbClr val="FF0000"/>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crossAx val="1942829503"/>
        <c:crosses val="autoZero"/>
        <c:auto val="1"/>
        <c:lblAlgn val="ctr"/>
        <c:lblOffset val="100"/>
        <c:noMultiLvlLbl val="0"/>
      </c:catAx>
      <c:valAx>
        <c:axId val="1942829503"/>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rgbClr val="FF0000"/>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crossAx val="194282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rgbClr val="FF0000"/>
                </a:solidFill>
              </a:ln>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[kerala_accidents_2022_2026.xlsx]analysing!PivotTable1</c:name>
    <c:fmtId val="8"/>
  </c:pivotSource>
  <c:chart>
    <c:title>
      <c:tx>
        <c:rich>
          <a:bodyPr rot="0" spcFirstLastPara="1" vertOverflow="ellipsis" vert="horz" wrap="square" anchor="ctr" anchorCtr="1"/>
          <a:lstStyle/>
          <a:p>
            <a:pPr>
              <a:defRPr sz="1800" b="1" i="0" u="none" strike="noStrike" kern="1200" cap="none" spc="50" baseline="0">
                <a:ln w="9525" cmpd="sng">
                  <a:solidFill>
                    <a:srgbClr val="912523"/>
                  </a:solidFill>
                  <a:prstDash val="solid"/>
                </a:ln>
                <a:solidFill>
                  <a:srgbClr val="70AD47">
                    <a:tint val="1000"/>
                  </a:srgbClr>
                </a:solidFill>
                <a:effectLst>
                  <a:glow rad="38100">
                    <a:schemeClr val="accent1">
                      <a:alpha val="40000"/>
                    </a:schemeClr>
                  </a:glow>
                </a:effectLst>
                <a:latin typeface="+mn-lt"/>
                <a:ea typeface="+mn-ea"/>
                <a:cs typeface="+mn-cs"/>
              </a:defRPr>
            </a:pPr>
            <a:r>
              <a:rPr lang="en-US" b="1" cap="none" spc="50">
                <a:ln w="9525" cmpd="sng">
                  <a:solidFill>
                    <a:srgbClr val="912523"/>
                  </a:solidFill>
                  <a:prstDash val="solid"/>
                </a:ln>
                <a:solidFill>
                  <a:srgbClr val="70AD47">
                    <a:tint val="1000"/>
                  </a:srgbClr>
                </a:solidFill>
                <a:effectLst>
                  <a:glow rad="38100">
                    <a:schemeClr val="accent1">
                      <a:alpha val="40000"/>
                    </a:schemeClr>
                  </a:glow>
                </a:effectLst>
              </a:rPr>
              <a:t>Death in each district</a:t>
            </a:r>
          </a:p>
        </c:rich>
      </c:tx>
      <c:layout>
        <c:manualLayout>
          <c:xMode val="edge"/>
          <c:yMode val="edge"/>
          <c:x val="0.28997301792017383"/>
          <c:y val="4.6511627906976744E-2"/>
        </c:manualLayout>
      </c:layout>
      <c:overlay val="0"/>
      <c:spPr>
        <a:noFill/>
        <a:ln>
          <a:noFill/>
        </a:ln>
        <a:effectLst/>
      </c:spPr>
      <c:txPr>
        <a:bodyPr rot="0" spcFirstLastPara="1" vertOverflow="ellipsis" vert="horz" wrap="square" anchor="ctr" anchorCtr="1"/>
        <a:lstStyle/>
        <a:p>
          <a:pPr>
            <a:defRPr sz="1800" b="1" i="0" u="none" strike="noStrike" kern="1200" cap="none" spc="50" baseline="0">
              <a:ln w="9525" cmpd="sng">
                <a:solidFill>
                  <a:srgbClr val="912523"/>
                </a:solidFill>
                <a:prstDash val="solid"/>
              </a:ln>
              <a:solidFill>
                <a:srgbClr val="70AD47">
                  <a:tint val="1000"/>
                </a:srgbClr>
              </a:solidFill>
              <a:effectLst>
                <a:glow rad="38100">
                  <a:schemeClr val="accent1">
                    <a:alpha val="40000"/>
                  </a:schemeClr>
                </a:glow>
              </a:effectLst>
              <a:latin typeface="+mn-lt"/>
              <a:ea typeface="+mn-ea"/>
              <a:cs typeface="+mn-cs"/>
            </a:defRPr>
          </a:pPr>
          <a:endParaRPr lang="en-US"/>
        </a:p>
      </c:txPr>
    </c:title>
    <c:autoTitleDeleted val="0"/>
    <c:pivotFmts>
      <c:pivotFmt>
        <c:idx val="0"/>
        <c:spPr>
          <a:solidFill>
            <a:srgbClr val="4F1413"/>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0" i="0" u="none" strike="noStrike" kern="1200" cap="none" spc="0" baseline="0">
                  <a:ln w="0">
                    <a:solidFill>
                      <a:srgbClr val="C00000"/>
                    </a:solidFill>
                  </a:ln>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F1413"/>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0" i="0" u="none" strike="noStrike" kern="1200" cap="none" spc="0" baseline="0">
                  <a:ln>
                    <a:solidFill>
                      <a:srgbClr val="C00000"/>
                    </a:solidFill>
                  </a:ln>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F1413"/>
          </a:solidFill>
          <a:ln>
            <a:solidFill>
              <a:schemeClr val="bg1"/>
            </a:solidFill>
          </a:ln>
          <a:effectLst/>
          <a:scene3d>
            <a:camera prst="orthographicFront"/>
            <a:lightRig rig="threePt" dir="t"/>
          </a:scene3d>
          <a:sp3d prstMaterial="flat">
            <a:contourClr>
              <a:schemeClr val="bg1"/>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0" i="0" u="none" strike="noStrike" kern="1200" cap="none" spc="0" baseline="0">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analysing!$B$9</c:f>
              <c:strCache>
                <c:ptCount val="1"/>
                <c:pt idx="0">
                  <c:v>Total</c:v>
                </c:pt>
              </c:strCache>
            </c:strRef>
          </c:tx>
          <c:spPr>
            <a:solidFill>
              <a:srgbClr val="4F1413"/>
            </a:solidFill>
            <a:ln>
              <a:solidFill>
                <a:schemeClr val="bg1"/>
              </a:solidFill>
            </a:ln>
            <a:effectLst/>
            <a:scene3d>
              <a:camera prst="orthographicFront"/>
              <a:lightRig rig="threePt" dir="t"/>
            </a:scene3d>
            <a:sp3d prstMaterial="flat">
              <a:contourClr>
                <a:schemeClr val="bg1"/>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0" i="0" u="none" strike="noStrike" kern="1200" cap="none" spc="0" baseline="0">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analysing!$A$10:$A$20</c:f>
              <c:strCache>
                <c:ptCount val="10"/>
                <c:pt idx="0">
                  <c:v>Alappuzha</c:v>
                </c:pt>
                <c:pt idx="1">
                  <c:v>Ernakulam</c:v>
                </c:pt>
                <c:pt idx="2">
                  <c:v>Kannur</c:v>
                </c:pt>
                <c:pt idx="3">
                  <c:v>Kollam</c:v>
                </c:pt>
                <c:pt idx="4">
                  <c:v>Kottayam</c:v>
                </c:pt>
                <c:pt idx="5">
                  <c:v>Kozhikode</c:v>
                </c:pt>
                <c:pt idx="6">
                  <c:v>Malappuram</c:v>
                </c:pt>
                <c:pt idx="7">
                  <c:v>Palakkad</c:v>
                </c:pt>
                <c:pt idx="8">
                  <c:v>Thrissur</c:v>
                </c:pt>
                <c:pt idx="9">
                  <c:v>Trivandrum</c:v>
                </c:pt>
              </c:strCache>
            </c:strRef>
          </c:cat>
          <c:val>
            <c:numRef>
              <c:f>analysing!$B$10:$B$20</c:f>
              <c:numCache>
                <c:formatCode>General</c:formatCode>
                <c:ptCount val="10"/>
                <c:pt idx="0">
                  <c:v>75</c:v>
                </c:pt>
                <c:pt idx="1">
                  <c:v>101</c:v>
                </c:pt>
                <c:pt idx="2">
                  <c:v>104</c:v>
                </c:pt>
                <c:pt idx="3">
                  <c:v>109</c:v>
                </c:pt>
                <c:pt idx="4">
                  <c:v>88</c:v>
                </c:pt>
                <c:pt idx="5">
                  <c:v>94</c:v>
                </c:pt>
                <c:pt idx="6">
                  <c:v>94</c:v>
                </c:pt>
                <c:pt idx="7">
                  <c:v>89</c:v>
                </c:pt>
                <c:pt idx="8">
                  <c:v>121</c:v>
                </c:pt>
                <c:pt idx="9">
                  <c:v>106</c:v>
                </c:pt>
              </c:numCache>
            </c:numRef>
          </c:val>
          <c:extLst>
            <c:ext xmlns:c16="http://schemas.microsoft.com/office/drawing/2014/chart" uri="{C3380CC4-5D6E-409C-BE32-E72D297353CC}">
              <c16:uniqueId val="{00000000-5A30-ED4D-B38B-C07D214B3622}"/>
            </c:ext>
          </c:extLst>
        </c:ser>
        <c:dLbls>
          <c:showLegendKey val="0"/>
          <c:showVal val="1"/>
          <c:showCatName val="0"/>
          <c:showSerName val="0"/>
          <c:showPercent val="0"/>
          <c:showBubbleSize val="0"/>
        </c:dLbls>
        <c:gapWidth val="84"/>
        <c:gapDepth val="53"/>
        <c:shape val="box"/>
        <c:axId val="1892106688"/>
        <c:axId val="1892108480"/>
        <c:axId val="0"/>
      </c:bar3DChart>
      <c:catAx>
        <c:axId val="1892106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a:solidFill>
                    <a:srgbClr val="FF0000"/>
                  </a:solidFill>
                </a:ln>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crossAx val="1892108480"/>
        <c:crosses val="autoZero"/>
        <c:auto val="1"/>
        <c:lblAlgn val="ctr"/>
        <c:lblOffset val="100"/>
        <c:noMultiLvlLbl val="0"/>
      </c:catAx>
      <c:valAx>
        <c:axId val="1892108480"/>
        <c:scaling>
          <c:orientation val="minMax"/>
        </c:scaling>
        <c:delete val="1"/>
        <c:axPos val="b"/>
        <c:numFmt formatCode="General" sourceLinked="1"/>
        <c:majorTickMark val="out"/>
        <c:minorTickMark val="none"/>
        <c:tickLblPos val="nextTo"/>
        <c:crossAx val="189210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a:solidFill>
                  <a:schemeClr val="bg1"/>
                </a:solidFill>
              </a:ln>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6350" cap="flat" cmpd="sng" algn="ctr">
      <a:solidFill>
        <a:schemeClr val="dk1">
          <a:tint val="75000"/>
        </a:schemeClr>
      </a:solidFill>
      <a:round/>
    </a:ln>
    <a:effectLst/>
  </c:spPr>
  <c:txPr>
    <a:bodyPr/>
    <a:lstStyle/>
    <a:p>
      <a:pPr>
        <a:defRPr b="0" cap="none" spc="0">
          <a:ln w="0">
            <a:solidFill>
              <a:srgbClr val="611823"/>
            </a:solidFill>
          </a:ln>
          <a:solidFill>
            <a:sysClr val="windowText" lastClr="000000"/>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[kerala_accidents_2022_2026.xlsx]analysing!PivotTable2</c:name>
    <c:fmtId val="6"/>
  </c:pivotSource>
  <c:chart>
    <c:autoTitleDeleted val="0"/>
    <c:pivotFmts>
      <c:pivotFmt>
        <c:idx val="0"/>
        <c:spPr>
          <a:solidFill>
            <a:srgbClr val="8C252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11823"/>
          </a:solidFill>
          <a:ln>
            <a:solidFill>
              <a:srgbClr val="611823"/>
            </a:solidFill>
          </a:ln>
          <a:effectLst/>
          <a:sp3d>
            <a:contourClr>
              <a:srgbClr val="611823"/>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C252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11823"/>
          </a:solidFill>
          <a:ln>
            <a:solidFill>
              <a:srgbClr val="611823"/>
            </a:solidFill>
          </a:ln>
          <a:effectLst/>
          <a:sp3d>
            <a:contourClr>
              <a:srgbClr val="611823"/>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C252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11823"/>
          </a:solidFill>
          <a:ln>
            <a:solidFill>
              <a:schemeClr val="bg1"/>
            </a:solid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11823"/>
          </a:solidFill>
          <a:ln>
            <a:solidFill>
              <a:schemeClr val="bg1"/>
            </a:solidFill>
          </a:ln>
          <a:effectLst/>
          <a:sp3d>
            <a:contourClr>
              <a:schemeClr val="bg1"/>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8136482939632551E-2"/>
          <c:y val="7.407407407407407E-2"/>
          <c:w val="0.60938582677165354"/>
          <c:h val="0.8416746864975212"/>
        </c:manualLayout>
      </c:layout>
      <c:bar3DChart>
        <c:barDir val="col"/>
        <c:grouping val="stacked"/>
        <c:varyColors val="0"/>
        <c:ser>
          <c:idx val="0"/>
          <c:order val="0"/>
          <c:tx>
            <c:strRef>
              <c:f>analysing!$E$9</c:f>
              <c:strCache>
                <c:ptCount val="1"/>
                <c:pt idx="0">
                  <c:v>Count of Accident_ID</c:v>
                </c:pt>
              </c:strCache>
            </c:strRef>
          </c:tx>
          <c:spPr>
            <a:solidFill>
              <a:srgbClr val="8C2523"/>
            </a:solidFill>
            <a:ln>
              <a:noFill/>
            </a:ln>
            <a:effectLst/>
            <a:sp3d/>
          </c:spPr>
          <c:invertIfNegative val="0"/>
          <c:cat>
            <c:strRef>
              <c:f>analysing!$D$10:$D$15</c:f>
              <c:strCache>
                <c:ptCount val="5"/>
                <c:pt idx="0">
                  <c:v>Auto</c:v>
                </c:pt>
                <c:pt idx="1">
                  <c:v>Bike</c:v>
                </c:pt>
                <c:pt idx="2">
                  <c:v>Bus</c:v>
                </c:pt>
                <c:pt idx="3">
                  <c:v>Car</c:v>
                </c:pt>
                <c:pt idx="4">
                  <c:v>Truck</c:v>
                </c:pt>
              </c:strCache>
            </c:strRef>
          </c:cat>
          <c:val>
            <c:numRef>
              <c:f>analysing!$E$10:$E$15</c:f>
              <c:numCache>
                <c:formatCode>General</c:formatCode>
                <c:ptCount val="5"/>
                <c:pt idx="0">
                  <c:v>83</c:v>
                </c:pt>
                <c:pt idx="1">
                  <c:v>88</c:v>
                </c:pt>
                <c:pt idx="2">
                  <c:v>84</c:v>
                </c:pt>
                <c:pt idx="3">
                  <c:v>71</c:v>
                </c:pt>
                <c:pt idx="4">
                  <c:v>74</c:v>
                </c:pt>
              </c:numCache>
            </c:numRef>
          </c:val>
          <c:extLst>
            <c:ext xmlns:c16="http://schemas.microsoft.com/office/drawing/2014/chart" uri="{C3380CC4-5D6E-409C-BE32-E72D297353CC}">
              <c16:uniqueId val="{00000000-7D02-0D4C-A966-04BC97899B2B}"/>
            </c:ext>
          </c:extLst>
        </c:ser>
        <c:ser>
          <c:idx val="1"/>
          <c:order val="1"/>
          <c:tx>
            <c:strRef>
              <c:f>analysing!$F$9</c:f>
              <c:strCache>
                <c:ptCount val="1"/>
                <c:pt idx="0">
                  <c:v>Sum of Injuries</c:v>
                </c:pt>
              </c:strCache>
            </c:strRef>
          </c:tx>
          <c:spPr>
            <a:solidFill>
              <a:srgbClr val="611823"/>
            </a:solidFill>
            <a:ln>
              <a:solidFill>
                <a:schemeClr val="bg1"/>
              </a:solidFill>
            </a:ln>
            <a:effectLst/>
            <a:sp3d>
              <a:contourClr>
                <a:schemeClr val="bg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analysing!$D$10:$D$15</c:f>
              <c:strCache>
                <c:ptCount val="5"/>
                <c:pt idx="0">
                  <c:v>Auto</c:v>
                </c:pt>
                <c:pt idx="1">
                  <c:v>Bike</c:v>
                </c:pt>
                <c:pt idx="2">
                  <c:v>Bus</c:v>
                </c:pt>
                <c:pt idx="3">
                  <c:v>Car</c:v>
                </c:pt>
                <c:pt idx="4">
                  <c:v>Truck</c:v>
                </c:pt>
              </c:strCache>
            </c:strRef>
          </c:cat>
          <c:val>
            <c:numRef>
              <c:f>analysing!$F$10:$F$15</c:f>
              <c:numCache>
                <c:formatCode>General</c:formatCode>
                <c:ptCount val="5"/>
                <c:pt idx="0">
                  <c:v>265</c:v>
                </c:pt>
                <c:pt idx="1">
                  <c:v>282</c:v>
                </c:pt>
                <c:pt idx="2">
                  <c:v>265</c:v>
                </c:pt>
                <c:pt idx="3">
                  <c:v>226</c:v>
                </c:pt>
                <c:pt idx="4">
                  <c:v>229</c:v>
                </c:pt>
              </c:numCache>
            </c:numRef>
          </c:val>
          <c:extLst>
            <c:ext xmlns:c16="http://schemas.microsoft.com/office/drawing/2014/chart" uri="{C3380CC4-5D6E-409C-BE32-E72D297353CC}">
              <c16:uniqueId val="{00000001-7D02-0D4C-A966-04BC97899B2B}"/>
            </c:ext>
          </c:extLst>
        </c:ser>
        <c:dLbls>
          <c:showLegendKey val="0"/>
          <c:showVal val="0"/>
          <c:showCatName val="0"/>
          <c:showSerName val="0"/>
          <c:showPercent val="0"/>
          <c:showBubbleSize val="0"/>
        </c:dLbls>
        <c:gapWidth val="150"/>
        <c:shape val="box"/>
        <c:axId val="1899019584"/>
        <c:axId val="1924220224"/>
        <c:axId val="0"/>
      </c:bar3DChart>
      <c:catAx>
        <c:axId val="189901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912523"/>
                  </a:solidFill>
                </a:ln>
                <a:solidFill>
                  <a:schemeClr val="tx1">
                    <a:lumMod val="65000"/>
                    <a:lumOff val="35000"/>
                  </a:schemeClr>
                </a:solidFill>
                <a:latin typeface="+mn-lt"/>
                <a:ea typeface="+mn-ea"/>
                <a:cs typeface="+mn-cs"/>
              </a:defRPr>
            </a:pPr>
            <a:endParaRPr lang="en-US"/>
          </a:p>
        </c:txPr>
        <c:crossAx val="1924220224"/>
        <c:crosses val="autoZero"/>
        <c:auto val="1"/>
        <c:lblAlgn val="ctr"/>
        <c:lblOffset val="100"/>
        <c:noMultiLvlLbl val="0"/>
      </c:catAx>
      <c:valAx>
        <c:axId val="192422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912523"/>
                  </a:solidFill>
                </a:ln>
                <a:solidFill>
                  <a:schemeClr val="tx1">
                    <a:lumMod val="65000"/>
                    <a:lumOff val="35000"/>
                  </a:schemeClr>
                </a:solidFill>
                <a:latin typeface="+mn-lt"/>
                <a:ea typeface="+mn-ea"/>
                <a:cs typeface="+mn-cs"/>
              </a:defRPr>
            </a:pPr>
            <a:endParaRPr lang="en-US"/>
          </a:p>
        </c:txPr>
        <c:crossAx val="189901958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[kerala_accidents_2022_2026.xlsx]analysing!PivotTable3</c:name>
    <c:fmtId val="3"/>
  </c:pivotSource>
  <c:chart>
    <c:title>
      <c:tx>
        <c:rich>
          <a:bodyPr rot="0" spcFirstLastPara="1" vertOverflow="ellipsis" vert="horz" wrap="square" anchor="ctr" anchorCtr="1"/>
          <a:lstStyle/>
          <a:p>
            <a:pPr>
              <a:defRPr sz="1800" b="1" i="0" u="none" strike="noStrike" kern="1200" cap="none" spc="50" baseline="0">
                <a:ln w="9525" cmpd="sng">
                  <a:solidFill>
                    <a:srgbClr val="912523"/>
                  </a:solidFill>
                  <a:prstDash val="solid"/>
                </a:ln>
                <a:solidFill>
                  <a:srgbClr val="70AD47">
                    <a:tint val="1000"/>
                  </a:srgbClr>
                </a:solidFill>
                <a:effectLst>
                  <a:glow rad="38100">
                    <a:schemeClr val="accent1">
                      <a:alpha val="40000"/>
                    </a:schemeClr>
                  </a:glow>
                </a:effectLst>
                <a:latin typeface="+mn-lt"/>
                <a:ea typeface="+mn-ea"/>
                <a:cs typeface="+mn-cs"/>
              </a:defRPr>
            </a:pPr>
            <a:r>
              <a:rPr lang="en-GB" sz="1800" b="1" cap="none" spc="50">
                <a:ln w="9525" cmpd="sng">
                  <a:solidFill>
                    <a:srgbClr val="912523"/>
                  </a:solidFill>
                  <a:prstDash val="solid"/>
                </a:ln>
                <a:solidFill>
                  <a:srgbClr val="70AD47">
                    <a:tint val="1000"/>
                  </a:srgbClr>
                </a:solidFill>
                <a:effectLst>
                  <a:glow rad="38100">
                    <a:schemeClr val="accent1">
                      <a:alpha val="40000"/>
                    </a:schemeClr>
                  </a:glow>
                </a:effectLst>
              </a:rPr>
              <a:t>Year-Wise</a:t>
            </a:r>
            <a:r>
              <a:rPr lang="en-GB" sz="1800" b="1" cap="none" spc="50" baseline="0">
                <a:ln w="9525" cmpd="sng">
                  <a:solidFill>
                    <a:srgbClr val="912523"/>
                  </a:solidFill>
                  <a:prstDash val="solid"/>
                </a:ln>
                <a:solidFill>
                  <a:srgbClr val="70AD47">
                    <a:tint val="1000"/>
                  </a:srgbClr>
                </a:solidFill>
                <a:effectLst>
                  <a:glow rad="38100">
                    <a:schemeClr val="accent1">
                      <a:alpha val="40000"/>
                    </a:schemeClr>
                  </a:glow>
                </a:effectLst>
              </a:rPr>
              <a:t> Death Rate</a:t>
            </a:r>
            <a:endParaRPr lang="en-GB" sz="1800" b="1" cap="none" spc="50">
              <a:ln w="9525" cmpd="sng">
                <a:solidFill>
                  <a:srgbClr val="912523"/>
                </a:solidFill>
                <a:prstDash val="solid"/>
              </a:ln>
              <a:solidFill>
                <a:srgbClr val="70AD47">
                  <a:tint val="1000"/>
                </a:srgbClr>
              </a:solidFill>
              <a:effectLst>
                <a:glow rad="38100">
                  <a:schemeClr val="accent1">
                    <a:alpha val="40000"/>
                  </a:schemeClr>
                </a:glow>
              </a:effectLst>
            </a:endParaRPr>
          </a:p>
        </c:rich>
      </c:tx>
      <c:layout>
        <c:manualLayout>
          <c:xMode val="edge"/>
          <c:yMode val="edge"/>
          <c:x val="0.30477777777777776"/>
          <c:y val="3.2407407407407406E-2"/>
        </c:manualLayout>
      </c:layout>
      <c:overlay val="0"/>
      <c:spPr>
        <a:noFill/>
        <a:ln>
          <a:noFill/>
        </a:ln>
        <a:effectLst/>
      </c:spPr>
      <c:txPr>
        <a:bodyPr rot="0" spcFirstLastPara="1" vertOverflow="ellipsis" vert="horz" wrap="square" anchor="ctr" anchorCtr="1"/>
        <a:lstStyle/>
        <a:p>
          <a:pPr>
            <a:defRPr sz="1800" b="1" i="0" u="none" strike="noStrike" kern="1200" cap="none" spc="50" baseline="0">
              <a:ln w="9525" cmpd="sng">
                <a:solidFill>
                  <a:srgbClr val="912523"/>
                </a:solidFill>
                <a:prstDash val="solid"/>
              </a:ln>
              <a:solidFill>
                <a:srgbClr val="70AD47">
                  <a:tint val="1000"/>
                </a:srgbClr>
              </a:solidFill>
              <a:effectLst>
                <a:glow rad="38100">
                  <a:schemeClr val="accent1">
                    <a:alpha val="40000"/>
                  </a:schemeClr>
                </a:glow>
              </a:effectLst>
              <a:latin typeface="+mn-lt"/>
              <a:ea typeface="+mn-ea"/>
              <a:cs typeface="+mn-cs"/>
            </a:defRPr>
          </a:pPr>
          <a:endParaRPr lang="en-US"/>
        </a:p>
      </c:txPr>
    </c:title>
    <c:autoTitleDeleted val="0"/>
    <c:pivotFmts>
      <c:pivotFmt>
        <c:idx val="0"/>
        <c:spPr>
          <a:solidFill>
            <a:schemeClr val="accent1"/>
          </a:solidFill>
          <a:ln w="28575" cap="rnd">
            <a:solidFill>
              <a:srgbClr val="8C25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C25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C25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analysing!$K$9</c:f>
              <c:strCache>
                <c:ptCount val="1"/>
                <c:pt idx="0">
                  <c:v>Total</c:v>
                </c:pt>
              </c:strCache>
            </c:strRef>
          </c:tx>
          <c:spPr>
            <a:ln w="28575" cap="rnd">
              <a:solidFill>
                <a:srgbClr val="8C252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analysing!$J$10:$J$15</c:f>
              <c:strCache>
                <c:ptCount val="5"/>
                <c:pt idx="0">
                  <c:v>2022</c:v>
                </c:pt>
                <c:pt idx="1">
                  <c:v>2023</c:v>
                </c:pt>
                <c:pt idx="2">
                  <c:v>2024</c:v>
                </c:pt>
                <c:pt idx="3">
                  <c:v>2025</c:v>
                </c:pt>
                <c:pt idx="4">
                  <c:v>2026</c:v>
                </c:pt>
              </c:strCache>
            </c:strRef>
          </c:cat>
          <c:val>
            <c:numRef>
              <c:f>analysing!$K$10:$K$15</c:f>
              <c:numCache>
                <c:formatCode>General</c:formatCode>
                <c:ptCount val="5"/>
                <c:pt idx="0">
                  <c:v>243</c:v>
                </c:pt>
                <c:pt idx="1">
                  <c:v>232</c:v>
                </c:pt>
                <c:pt idx="2">
                  <c:v>297</c:v>
                </c:pt>
                <c:pt idx="3">
                  <c:v>191</c:v>
                </c:pt>
                <c:pt idx="4">
                  <c:v>18</c:v>
                </c:pt>
              </c:numCache>
            </c:numRef>
          </c:val>
          <c:smooth val="0"/>
          <c:extLst>
            <c:ext xmlns:c16="http://schemas.microsoft.com/office/drawing/2014/chart" uri="{C3380CC4-5D6E-409C-BE32-E72D297353CC}">
              <c16:uniqueId val="{00000000-3604-AD4E-9D3B-7E647181FCC3}"/>
            </c:ext>
          </c:extLst>
        </c:ser>
        <c:dLbls>
          <c:showLegendKey val="0"/>
          <c:showVal val="0"/>
          <c:showCatName val="0"/>
          <c:showSerName val="0"/>
          <c:showPercent val="0"/>
          <c:showBubbleSize val="0"/>
        </c:dLbls>
        <c:smooth val="0"/>
        <c:axId val="1924563840"/>
        <c:axId val="1924568768"/>
      </c:lineChart>
      <c:catAx>
        <c:axId val="192456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FF0000"/>
                  </a:solidFill>
                </a:ln>
                <a:solidFill>
                  <a:schemeClr val="tx1">
                    <a:lumMod val="65000"/>
                    <a:lumOff val="35000"/>
                  </a:schemeClr>
                </a:solidFill>
                <a:latin typeface="+mn-lt"/>
                <a:ea typeface="+mn-ea"/>
                <a:cs typeface="+mn-cs"/>
              </a:defRPr>
            </a:pPr>
            <a:endParaRPr lang="en-US"/>
          </a:p>
        </c:txPr>
        <c:crossAx val="1924568768"/>
        <c:crosses val="autoZero"/>
        <c:auto val="1"/>
        <c:lblAlgn val="ctr"/>
        <c:lblOffset val="100"/>
        <c:noMultiLvlLbl val="0"/>
      </c:catAx>
      <c:valAx>
        <c:axId val="192456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C00000"/>
            </a:solidFill>
          </a:ln>
          <a:effectLst/>
        </c:spPr>
        <c:txPr>
          <a:bodyPr rot="-60000000" spcFirstLastPara="1" vertOverflow="ellipsis" vert="horz" wrap="square" anchor="ctr" anchorCtr="1"/>
          <a:lstStyle/>
          <a:p>
            <a:pPr>
              <a:defRPr sz="900" b="0" i="0" u="none" strike="noStrike" kern="1200" baseline="0">
                <a:ln>
                  <a:solidFill>
                    <a:srgbClr val="FF0000"/>
                  </a:solidFill>
                </a:ln>
                <a:solidFill>
                  <a:schemeClr val="tx1">
                    <a:lumMod val="65000"/>
                    <a:lumOff val="35000"/>
                  </a:schemeClr>
                </a:solidFill>
                <a:latin typeface="+mn-lt"/>
                <a:ea typeface="+mn-ea"/>
                <a:cs typeface="+mn-cs"/>
              </a:defRPr>
            </a:pPr>
            <a:endParaRPr lang="en-US"/>
          </a:p>
        </c:txPr>
        <c:crossAx val="192456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9525" cmpd="sng">
                <a:solidFill>
                  <a:srgbClr val="FF0000"/>
                </a:solidFill>
                <a:prstDash val="solid"/>
              </a:ln>
              <a:solidFill>
                <a:srgbClr val="70AD47">
                  <a:tint val="1000"/>
                </a:srgbClr>
              </a:solidFill>
              <a:effectLst>
                <a:glow rad="38100">
                  <a:schemeClr val="accent1">
                    <a:alpha val="40000"/>
                  </a:schemeClr>
                </a:glo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[kerala_accidents_2022_2026.xlsx]analysing!PivotTable6</c:name>
    <c:fmtId val="5"/>
  </c:pivotSource>
  <c:chart>
    <c:title>
      <c:tx>
        <c:rich>
          <a:bodyPr rot="0" spcFirstLastPara="1" vertOverflow="ellipsis" vert="horz" wrap="square" anchor="ctr" anchorCtr="1"/>
          <a:lstStyle/>
          <a:p>
            <a:pPr>
              <a:defRPr sz="1400" b="1" i="0" u="none" strike="noStrike" kern="1200" cap="none" spc="0" baseline="0">
                <a:ln w="10160">
                  <a:solidFill>
                    <a:srgbClr val="912523"/>
                  </a:solidFill>
                </a:ln>
                <a:solidFill>
                  <a:srgbClr val="FFFFFF"/>
                </a:solidFill>
                <a:effectLst>
                  <a:outerShdw blurRad="38100" dist="22860" dir="5400000" algn="tl" rotWithShape="0">
                    <a:srgbClr val="000000">
                      <a:alpha val="30000"/>
                    </a:srgbClr>
                  </a:outerShdw>
                </a:effectLst>
                <a:latin typeface="+mn-lt"/>
                <a:ea typeface="+mn-ea"/>
                <a:cs typeface="+mn-cs"/>
              </a:defRPr>
            </a:pPr>
            <a:r>
              <a:rPr lang="en-GB" sz="1800" b="1" cap="none" spc="0">
                <a:ln w="10160">
                  <a:solidFill>
                    <a:srgbClr val="912523"/>
                  </a:solidFill>
                  <a:prstDash val="solid"/>
                </a:ln>
                <a:solidFill>
                  <a:srgbClr val="FFFFFF"/>
                </a:solidFill>
                <a:effectLst>
                  <a:outerShdw blurRad="38100" dist="22860" dir="5400000" algn="tl" rotWithShape="0">
                    <a:srgbClr val="000000">
                      <a:alpha val="30000"/>
                    </a:srgbClr>
                  </a:outerShdw>
                </a:effectLst>
              </a:rPr>
              <a:t>Good for weather distribution</a:t>
            </a:r>
          </a:p>
        </c:rich>
      </c:tx>
      <c:overlay val="0"/>
      <c:spPr>
        <a:noFill/>
        <a:ln>
          <a:noFill/>
        </a:ln>
        <a:effectLst/>
      </c:spPr>
      <c:txPr>
        <a:bodyPr rot="0" spcFirstLastPara="1" vertOverflow="ellipsis" vert="horz" wrap="square" anchor="ctr" anchorCtr="1"/>
        <a:lstStyle/>
        <a:p>
          <a:pPr>
            <a:defRPr sz="1400" b="1" i="0" u="none" strike="noStrike" kern="1200" cap="none" spc="0" baseline="0">
              <a:ln w="10160">
                <a:solidFill>
                  <a:srgbClr val="912523"/>
                </a:solidFill>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solidFill>
            <a:schemeClr val="tx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22225">
                    <a:solidFill>
                      <a:schemeClr val="accent2"/>
                    </a:solidFill>
                    <a:prstDash val="solid"/>
                  </a:ln>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70000"/>
          </a:solidFill>
          <a:ln w="25400">
            <a:solidFill>
              <a:schemeClr val="lt1"/>
            </a:solidFill>
          </a:ln>
          <a:effectLst/>
          <a:sp3d contourW="25400">
            <a:contourClr>
              <a:schemeClr val="lt1"/>
            </a:contourClr>
          </a:sp3d>
        </c:spPr>
      </c:pivotFmt>
      <c:pivotFmt>
        <c:idx val="2"/>
        <c:spPr>
          <a:solidFill>
            <a:schemeClr val="accent2">
              <a:lumMod val="75000"/>
            </a:schemeClr>
          </a:solidFill>
          <a:ln w="25400">
            <a:solidFill>
              <a:schemeClr val="lt1"/>
            </a:solidFill>
          </a:ln>
          <a:effectLst/>
          <a:sp3d contourW="25400">
            <a:contourClr>
              <a:schemeClr val="lt1"/>
            </a:contourClr>
          </a:sp3d>
        </c:spPr>
      </c:pivotFmt>
      <c:pivotFmt>
        <c:idx val="3"/>
        <c:spPr>
          <a:solidFill>
            <a:schemeClr val="accent2">
              <a:lumMod val="40000"/>
              <a:lumOff val="60000"/>
            </a:schemeClr>
          </a:solidFill>
          <a:ln w="25400">
            <a:solidFill>
              <a:schemeClr val="lt1"/>
            </a:solidFill>
          </a:ln>
          <a:effectLst/>
          <a:sp3d contourW="25400">
            <a:contourClr>
              <a:schemeClr val="lt1"/>
            </a:contourClr>
          </a:sp3d>
        </c:spPr>
      </c:pivotFmt>
      <c:pivotFmt>
        <c:idx val="4"/>
        <c:spPr>
          <a:solidFill>
            <a:schemeClr val="tx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22225">
                    <a:solidFill>
                      <a:schemeClr val="accent2"/>
                    </a:solidFill>
                    <a:prstDash val="solid"/>
                  </a:ln>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w="25400">
            <a:solidFill>
              <a:schemeClr val="lt1"/>
            </a:solidFill>
          </a:ln>
          <a:effectLst/>
          <a:sp3d contourW="25400">
            <a:contourClr>
              <a:schemeClr val="lt1"/>
            </a:contourClr>
          </a:sp3d>
        </c:spPr>
      </c:pivotFmt>
      <c:pivotFmt>
        <c:idx val="6"/>
        <c:spPr>
          <a:solidFill>
            <a:srgbClr val="470000"/>
          </a:solidFill>
          <a:ln w="25400">
            <a:solidFill>
              <a:schemeClr val="lt1"/>
            </a:solidFill>
          </a:ln>
          <a:effectLst/>
          <a:sp3d contourW="25400">
            <a:contourClr>
              <a:schemeClr val="lt1"/>
            </a:contourClr>
          </a:sp3d>
        </c:spPr>
      </c:pivotFmt>
      <c:pivotFmt>
        <c:idx val="7"/>
        <c:spPr>
          <a:solidFill>
            <a:schemeClr val="accent2">
              <a:lumMod val="75000"/>
            </a:schemeClr>
          </a:solidFill>
          <a:ln w="25400">
            <a:solidFill>
              <a:schemeClr val="lt1"/>
            </a:solidFill>
          </a:ln>
          <a:effectLst/>
          <a:sp3d contourW="25400">
            <a:contourClr>
              <a:schemeClr val="lt1"/>
            </a:contourClr>
          </a:sp3d>
        </c:spPr>
      </c:pivotFmt>
      <c:pivotFmt>
        <c:idx val="8"/>
        <c:spPr>
          <a:solidFill>
            <a:schemeClr val="tx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w="25400">
            <a:solidFill>
              <a:schemeClr val="lt1"/>
            </a:solidFill>
          </a:ln>
          <a:effectLst/>
          <a:sp3d contourW="25400">
            <a:contourClr>
              <a:schemeClr val="lt1"/>
            </a:contourClr>
          </a:sp3d>
        </c:spPr>
      </c:pivotFmt>
      <c:pivotFmt>
        <c:idx val="10"/>
        <c:spPr>
          <a:solidFill>
            <a:srgbClr val="470000"/>
          </a:solidFill>
          <a:ln w="25400">
            <a:solidFill>
              <a:schemeClr val="lt1"/>
            </a:solidFill>
          </a:ln>
          <a:effectLst/>
          <a:sp3d contourW="25400">
            <a:contourClr>
              <a:schemeClr val="lt1"/>
            </a:contourClr>
          </a:sp3d>
        </c:spPr>
      </c:pivotFmt>
      <c:pivotFmt>
        <c:idx val="11"/>
        <c:spPr>
          <a:solidFill>
            <a:schemeClr val="accent2">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221958104293566E-2"/>
          <c:y val="0.14541079167429652"/>
          <c:w val="0.68975238944188577"/>
          <c:h val="0.71240678938311519"/>
        </c:manualLayout>
      </c:layout>
      <c:pie3DChart>
        <c:varyColors val="1"/>
        <c:ser>
          <c:idx val="0"/>
          <c:order val="0"/>
          <c:tx>
            <c:strRef>
              <c:f>analysing!$N$11</c:f>
              <c:strCache>
                <c:ptCount val="1"/>
                <c:pt idx="0">
                  <c:v>Total</c:v>
                </c:pt>
              </c:strCache>
            </c:strRef>
          </c:tx>
          <c:spPr>
            <a:solidFill>
              <a:schemeClr val="tx1"/>
            </a:solidFill>
          </c:spPr>
          <c:dPt>
            <c:idx val="0"/>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595-1B4C-B1E6-04C4831F4222}"/>
              </c:ext>
            </c:extLst>
          </c:dPt>
          <c:dPt>
            <c:idx val="1"/>
            <c:bubble3D val="0"/>
            <c:spPr>
              <a:solidFill>
                <a:srgbClr val="47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4595-1B4C-B1E6-04C4831F4222}"/>
              </c:ext>
            </c:extLst>
          </c:dPt>
          <c:dPt>
            <c:idx val="2"/>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4595-1B4C-B1E6-04C4831F4222}"/>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analysing!$M$12:$M$15</c:f>
              <c:strCache>
                <c:ptCount val="3"/>
                <c:pt idx="0">
                  <c:v>Clear</c:v>
                </c:pt>
                <c:pt idx="1">
                  <c:v>Fog</c:v>
                </c:pt>
                <c:pt idx="2">
                  <c:v>Rain</c:v>
                </c:pt>
              </c:strCache>
            </c:strRef>
          </c:cat>
          <c:val>
            <c:numRef>
              <c:f>analysing!$N$12:$N$15</c:f>
              <c:numCache>
                <c:formatCode>General</c:formatCode>
                <c:ptCount val="3"/>
                <c:pt idx="0">
                  <c:v>265</c:v>
                </c:pt>
                <c:pt idx="1">
                  <c:v>383</c:v>
                </c:pt>
                <c:pt idx="2">
                  <c:v>333</c:v>
                </c:pt>
              </c:numCache>
            </c:numRef>
          </c:val>
          <c:extLst>
            <c:ext xmlns:c16="http://schemas.microsoft.com/office/drawing/2014/chart" uri="{C3380CC4-5D6E-409C-BE32-E72D297353CC}">
              <c16:uniqueId val="{00000006-4595-1B4C-B1E6-04C4831F422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b="1" cap="none" spc="0">
          <a:ln w="22225">
            <a:solidFill>
              <a:schemeClr val="accent2"/>
            </a:solidFill>
            <a:prstDash val="solid"/>
          </a:ln>
          <a:solidFill>
            <a:schemeClr val="accent2">
              <a:lumMod val="40000"/>
              <a:lumOff val="60000"/>
            </a:schemeClr>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[kerala_accidents_2022_2026.xlsx]analysing!PivotTable15</c:name>
    <c:fmtId val="3"/>
  </c:pivotSource>
  <c:chart>
    <c:title>
      <c:tx>
        <c:rich>
          <a:bodyPr rot="0" spcFirstLastPara="1" vertOverflow="ellipsis" vert="horz" wrap="square" anchor="ctr" anchorCtr="1"/>
          <a:lstStyle/>
          <a:p>
            <a:pPr>
              <a:defRPr sz="1800" b="1" i="0" u="none" strike="noStrike" kern="1200" cap="none" spc="0" baseline="0">
                <a:ln w="10160">
                  <a:solidFill>
                    <a:srgbClr val="912523"/>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sz="1800" b="1" cap="none" spc="0">
                <a:ln w="10160">
                  <a:solidFill>
                    <a:srgbClr val="912523"/>
                  </a:solidFill>
                  <a:prstDash val="solid"/>
                </a:ln>
                <a:solidFill>
                  <a:srgbClr val="FFFFFF"/>
                </a:solidFill>
                <a:effectLst>
                  <a:outerShdw blurRad="38100" dist="22860" dir="5400000" algn="tl" rotWithShape="0">
                    <a:srgbClr val="000000">
                      <a:alpha val="30000"/>
                    </a:srgbClr>
                  </a:outerShdw>
                </a:effectLst>
              </a:rPr>
              <a:t>Rural</a:t>
            </a:r>
            <a:r>
              <a:rPr lang="en-US" sz="1800" b="1" cap="none" spc="0" baseline="0">
                <a:ln w="10160">
                  <a:solidFill>
                    <a:srgbClr val="912523"/>
                  </a:solidFill>
                  <a:prstDash val="solid"/>
                </a:ln>
                <a:solidFill>
                  <a:srgbClr val="FFFFFF"/>
                </a:solidFill>
                <a:effectLst>
                  <a:outerShdw blurRad="38100" dist="22860" dir="5400000" algn="tl" rotWithShape="0">
                    <a:srgbClr val="000000">
                      <a:alpha val="30000"/>
                    </a:srgbClr>
                  </a:outerShdw>
                </a:effectLst>
              </a:rPr>
              <a:t> v/s Urban</a:t>
            </a:r>
            <a:endParaRPr lang="en-US" sz="1800" b="1" cap="none" spc="0">
              <a:ln w="10160">
                <a:solidFill>
                  <a:srgbClr val="912523"/>
                </a:solidFill>
                <a:prstDash val="solid"/>
              </a:ln>
              <a:solidFill>
                <a:srgbClr val="FFFFFF"/>
              </a:solidFill>
              <a:effectLst>
                <a:outerShdw blurRad="38100" dist="22860" dir="5400000" algn="tl" rotWithShape="0">
                  <a:srgbClr val="000000">
                    <a:alpha val="30000"/>
                  </a:srgbClr>
                </a:outerShdw>
              </a:effectLst>
            </a:endParaRPr>
          </a:p>
        </c:rich>
      </c:tx>
      <c:overlay val="0"/>
      <c:spPr>
        <a:noFill/>
        <a:ln>
          <a:noFill/>
        </a:ln>
        <a:effectLst/>
      </c:spPr>
      <c:txPr>
        <a:bodyPr rot="0" spcFirstLastPara="1" vertOverflow="ellipsis" vert="horz" wrap="square" anchor="ctr" anchorCtr="1"/>
        <a:lstStyle/>
        <a:p>
          <a:pPr>
            <a:defRPr sz="1800" b="1" i="0" u="none" strike="noStrike" kern="1200" cap="none" spc="0" baseline="0">
              <a:ln w="10160">
                <a:solidFill>
                  <a:srgbClr val="912523"/>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12523"/>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12523"/>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12523"/>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analysing!$Q$23</c:f>
              <c:strCache>
                <c:ptCount val="1"/>
                <c:pt idx="0">
                  <c:v>Total</c:v>
                </c:pt>
              </c:strCache>
            </c:strRef>
          </c:tx>
          <c:dPt>
            <c:idx val="0"/>
            <c:bubble3D val="0"/>
            <c:spPr>
              <a:solidFill>
                <a:srgbClr val="912523"/>
              </a:solidFill>
              <a:ln w="19050">
                <a:solidFill>
                  <a:schemeClr val="lt1"/>
                </a:solidFill>
              </a:ln>
              <a:effectLst/>
            </c:spPr>
            <c:extLst>
              <c:ext xmlns:c16="http://schemas.microsoft.com/office/drawing/2014/chart" uri="{C3380CC4-5D6E-409C-BE32-E72D297353CC}">
                <c16:uniqueId val="{00000001-D563-C148-BD5A-423D1CAEC5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63-C148-BD5A-423D1CAEC5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analysing!$P$24:$P$26</c:f>
              <c:strCache>
                <c:ptCount val="2"/>
                <c:pt idx="0">
                  <c:v>Rural</c:v>
                </c:pt>
                <c:pt idx="1">
                  <c:v>Urban</c:v>
                </c:pt>
              </c:strCache>
            </c:strRef>
          </c:cat>
          <c:val>
            <c:numRef>
              <c:f>analysing!$Q$24:$Q$26</c:f>
              <c:numCache>
                <c:formatCode>General</c:formatCode>
                <c:ptCount val="2"/>
                <c:pt idx="0">
                  <c:v>509</c:v>
                </c:pt>
                <c:pt idx="1">
                  <c:v>472</c:v>
                </c:pt>
              </c:numCache>
            </c:numRef>
          </c:val>
          <c:extLst>
            <c:ext xmlns:c16="http://schemas.microsoft.com/office/drawing/2014/chart" uri="{C3380CC4-5D6E-409C-BE32-E72D297353CC}">
              <c16:uniqueId val="{00000004-D563-C148-BD5A-423D1CAEC5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[kerala_accidents_2022_2026.xlsx]analysing!PivotTable5</c:name>
    <c:fmtId val="1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cap="none" spc="0">
                <a:ln w="10160">
                  <a:solidFill>
                    <a:srgbClr val="912523"/>
                  </a:solidFill>
                  <a:prstDash val="solid"/>
                </a:ln>
                <a:solidFill>
                  <a:srgbClr val="FFFFFF"/>
                </a:solidFill>
                <a:effectLst>
                  <a:outerShdw blurRad="38100" dist="22860" dir="5400000" algn="tl" rotWithShape="0">
                    <a:srgbClr val="000000">
                      <a:alpha val="30000"/>
                    </a:srgbClr>
                  </a:outerShdw>
                </a:effectLst>
              </a:rPr>
              <a:t>Reason</a:t>
            </a:r>
            <a:r>
              <a:rPr lang="en-US" sz="1800" baseline="0">
                <a:ln>
                  <a:solidFill>
                    <a:srgbClr val="912523"/>
                  </a:solidFill>
                </a:ln>
              </a:rPr>
              <a:t> </a:t>
            </a:r>
            <a:r>
              <a:rPr lang="en-US" sz="1800" b="1" cap="none" spc="0" baseline="0">
                <a:ln w="10160">
                  <a:solidFill>
                    <a:srgbClr val="912523"/>
                  </a:solidFill>
                  <a:prstDash val="solid"/>
                </a:ln>
                <a:solidFill>
                  <a:srgbClr val="FFFFFF"/>
                </a:solidFill>
                <a:effectLst>
                  <a:outerShdw blurRad="38100" dist="22860" dir="5400000" algn="tl" rotWithShape="0">
                    <a:srgbClr val="000000">
                      <a:alpha val="30000"/>
                    </a:srgbClr>
                  </a:outerShdw>
                </a:effectLst>
              </a:rPr>
              <a:t>of accident</a:t>
            </a:r>
            <a:endParaRPr lang="en-US" sz="1800">
              <a:ln w="10160">
                <a:solidFill>
                  <a:srgbClr val="912523"/>
                </a:solidFill>
                <a:prstDash val="solid"/>
              </a:ln>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118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118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1823"/>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analysing!$H$21</c:f>
              <c:strCache>
                <c:ptCount val="1"/>
                <c:pt idx="0">
                  <c:v>Total</c:v>
                </c:pt>
              </c:strCache>
            </c:strRef>
          </c:tx>
          <c:spPr>
            <a:solidFill>
              <a:srgbClr val="611823"/>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analysing!$G$22:$G$26</c:f>
              <c:strCache>
                <c:ptCount val="4"/>
                <c:pt idx="0">
                  <c:v>Brake Failure</c:v>
                </c:pt>
                <c:pt idx="1">
                  <c:v>Distraction</c:v>
                </c:pt>
                <c:pt idx="2">
                  <c:v>Drunk Driving</c:v>
                </c:pt>
                <c:pt idx="3">
                  <c:v>Over-speeding</c:v>
                </c:pt>
              </c:strCache>
            </c:strRef>
          </c:cat>
          <c:val>
            <c:numRef>
              <c:f>analysing!$H$22:$H$26</c:f>
              <c:numCache>
                <c:formatCode>General</c:formatCode>
                <c:ptCount val="4"/>
                <c:pt idx="0">
                  <c:v>258</c:v>
                </c:pt>
                <c:pt idx="1">
                  <c:v>261</c:v>
                </c:pt>
                <c:pt idx="2">
                  <c:v>224</c:v>
                </c:pt>
                <c:pt idx="3">
                  <c:v>238</c:v>
                </c:pt>
              </c:numCache>
            </c:numRef>
          </c:val>
          <c:extLst>
            <c:ext xmlns:c16="http://schemas.microsoft.com/office/drawing/2014/chart" uri="{C3380CC4-5D6E-409C-BE32-E72D297353CC}">
              <c16:uniqueId val="{00000000-A386-8441-AB7A-C58570CCF51E}"/>
            </c:ext>
          </c:extLst>
        </c:ser>
        <c:dLbls>
          <c:showLegendKey val="0"/>
          <c:showVal val="0"/>
          <c:showCatName val="0"/>
          <c:showSerName val="0"/>
          <c:showPercent val="0"/>
          <c:showBubbleSize val="0"/>
        </c:dLbls>
        <c:gapWidth val="219"/>
        <c:overlap val="-27"/>
        <c:axId val="1949205376"/>
        <c:axId val="1950316096"/>
      </c:barChart>
      <c:catAx>
        <c:axId val="194920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C00000"/>
                  </a:solidFill>
                </a:ln>
                <a:solidFill>
                  <a:schemeClr val="tx1">
                    <a:lumMod val="65000"/>
                    <a:lumOff val="35000"/>
                  </a:schemeClr>
                </a:solidFill>
                <a:latin typeface="+mn-lt"/>
                <a:ea typeface="+mn-ea"/>
                <a:cs typeface="+mn-cs"/>
              </a:defRPr>
            </a:pPr>
            <a:endParaRPr lang="en-US"/>
          </a:p>
        </c:txPr>
        <c:crossAx val="1950316096"/>
        <c:crosses val="autoZero"/>
        <c:auto val="1"/>
        <c:lblAlgn val="ctr"/>
        <c:lblOffset val="100"/>
        <c:noMultiLvlLbl val="0"/>
      </c:catAx>
      <c:valAx>
        <c:axId val="195031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C00000"/>
                  </a:solidFill>
                </a:ln>
                <a:solidFill>
                  <a:schemeClr val="tx1">
                    <a:lumMod val="65000"/>
                    <a:lumOff val="35000"/>
                  </a:schemeClr>
                </a:solidFill>
                <a:latin typeface="+mn-lt"/>
                <a:ea typeface="+mn-ea"/>
                <a:cs typeface="+mn-cs"/>
              </a:defRPr>
            </a:pPr>
            <a:endParaRPr lang="en-US"/>
          </a:p>
        </c:txPr>
        <c:crossAx val="194920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[kerala_accidents_2022_2026.xlsx]analysing!PivotTable4</c:name>
    <c:fmtId val="4"/>
  </c:pivotSource>
  <c:chart>
    <c:title>
      <c:tx>
        <c:rich>
          <a:bodyPr rot="0" spcFirstLastPara="1" vertOverflow="ellipsis" vert="horz" wrap="square" anchor="ctr" anchorCtr="1"/>
          <a:lstStyle/>
          <a:p>
            <a:pPr>
              <a:defRPr sz="1600" b="0" i="0" u="none" strike="noStrike" kern="1200" cap="none" spc="50" baseline="0">
                <a:ln w="9525" cmpd="sng">
                  <a:solidFill>
                    <a:srgbClr val="912523"/>
                  </a:solidFill>
                  <a:prstDash val="solid"/>
                </a:ln>
                <a:solidFill>
                  <a:schemeClr val="tx1">
                    <a:lumMod val="65000"/>
                    <a:lumOff val="35000"/>
                  </a:schemeClr>
                </a:solidFill>
                <a:latin typeface="+mn-lt"/>
                <a:ea typeface="+mn-ea"/>
                <a:cs typeface="+mn-cs"/>
              </a:defRPr>
            </a:pPr>
            <a:r>
              <a:rPr lang="en-US" b="1" cap="none" spc="50">
                <a:ln w="9525" cmpd="sng">
                  <a:solidFill>
                    <a:srgbClr val="912523"/>
                  </a:solidFill>
                  <a:prstDash val="solid"/>
                </a:ln>
                <a:solidFill>
                  <a:srgbClr val="70AD47">
                    <a:tint val="1000"/>
                  </a:srgbClr>
                </a:solidFill>
                <a:effectLst>
                  <a:glow rad="38100">
                    <a:schemeClr val="accent1">
                      <a:alpha val="40000"/>
                    </a:schemeClr>
                  </a:glow>
                </a:effectLst>
              </a:rPr>
              <a:t>Age distrivution</a:t>
            </a:r>
          </a:p>
        </c:rich>
      </c:tx>
      <c:layout>
        <c:manualLayout>
          <c:xMode val="edge"/>
          <c:yMode val="edge"/>
          <c:x val="0.33541666666666664"/>
          <c:y val="3.2407407407407406E-2"/>
        </c:manualLayout>
      </c:layout>
      <c:overlay val="0"/>
      <c:spPr>
        <a:solidFill>
          <a:schemeClr val="tx1"/>
        </a:solidFill>
        <a:ln>
          <a:noFill/>
        </a:ln>
        <a:effectLst/>
      </c:spPr>
      <c:txPr>
        <a:bodyPr rot="0" spcFirstLastPara="1" vertOverflow="ellipsis" vert="horz" wrap="square" anchor="ctr" anchorCtr="1"/>
        <a:lstStyle/>
        <a:p>
          <a:pPr>
            <a:defRPr sz="1600" b="0" i="0" u="none" strike="noStrike" kern="1200" cap="none" spc="50" baseline="0">
              <a:ln w="9525" cmpd="sng">
                <a:solidFill>
                  <a:srgbClr val="912523"/>
                </a:solidFill>
                <a:prstDash val="solid"/>
              </a:ln>
              <a:solidFill>
                <a:schemeClr val="tx1">
                  <a:lumMod val="65000"/>
                  <a:lumOff val="35000"/>
                </a:schemeClr>
              </a:solidFill>
              <a:latin typeface="+mn-lt"/>
              <a:ea typeface="+mn-ea"/>
              <a:cs typeface="+mn-cs"/>
            </a:defRPr>
          </a:pPr>
          <a:endParaRPr lang="en-US"/>
        </a:p>
      </c:txPr>
    </c:title>
    <c:autoTitleDeleted val="0"/>
    <c:pivotFmts>
      <c:pivotFmt>
        <c:idx val="0"/>
        <c:spPr>
          <a:solidFill>
            <a:srgbClr val="611823"/>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11823"/>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1823"/>
          </a:solidFill>
          <a:ln>
            <a:solidFill>
              <a:schemeClr val="bg1"/>
            </a:solidFill>
          </a:ln>
          <a:effectLst/>
          <a:scene3d>
            <a:camera prst="orthographicFront"/>
            <a:lightRig rig="threePt" dir="t"/>
          </a:scene3d>
          <a:sp3d prstMaterial="translucentPowder">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solidFill>
          <a:schemeClr val="accent2">
            <a:lumMod val="75000"/>
          </a:schemeClr>
        </a:solidFill>
        <a:ln>
          <a:noFill/>
        </a:ln>
        <a:effectLst/>
        <a:sp3d/>
      </c:spPr>
    </c:sideWall>
    <c:backWall>
      <c:thickness val="0"/>
      <c:spPr>
        <a:solidFill>
          <a:schemeClr val="accent2">
            <a:lumMod val="75000"/>
          </a:schemeClr>
        </a:solidFill>
        <a:ln>
          <a:noFill/>
        </a:ln>
        <a:effectLst/>
        <a:sp3d/>
      </c:spPr>
    </c:backWall>
    <c:plotArea>
      <c:layout/>
      <c:bar3DChart>
        <c:barDir val="bar"/>
        <c:grouping val="clustered"/>
        <c:varyColors val="0"/>
        <c:ser>
          <c:idx val="0"/>
          <c:order val="0"/>
          <c:tx>
            <c:strRef>
              <c:f>analysing!$E$21</c:f>
              <c:strCache>
                <c:ptCount val="1"/>
                <c:pt idx="0">
                  <c:v>Total</c:v>
                </c:pt>
              </c:strCache>
            </c:strRef>
          </c:tx>
          <c:spPr>
            <a:solidFill>
              <a:srgbClr val="611823"/>
            </a:solidFill>
            <a:ln>
              <a:solidFill>
                <a:schemeClr val="bg1"/>
              </a:solidFill>
            </a:ln>
            <a:effectLst/>
            <a:scene3d>
              <a:camera prst="orthographicFront"/>
              <a:lightRig rig="threePt" dir="t"/>
            </a:scene3d>
            <a:sp3d prstMaterial="translucentPowder">
              <a:contourClr>
                <a:schemeClr val="bg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analysing!$D$22:$D$25</c:f>
              <c:strCache>
                <c:ptCount val="3"/>
                <c:pt idx="0">
                  <c:v>18-27</c:v>
                </c:pt>
                <c:pt idx="1">
                  <c:v>28-38</c:v>
                </c:pt>
                <c:pt idx="2">
                  <c:v>&gt;38</c:v>
                </c:pt>
              </c:strCache>
            </c:strRef>
          </c:cat>
          <c:val>
            <c:numRef>
              <c:f>analysing!$E$22:$E$25</c:f>
              <c:numCache>
                <c:formatCode>General</c:formatCode>
                <c:ptCount val="3"/>
                <c:pt idx="0">
                  <c:v>181</c:v>
                </c:pt>
                <c:pt idx="1">
                  <c:v>253</c:v>
                </c:pt>
                <c:pt idx="2">
                  <c:v>547</c:v>
                </c:pt>
              </c:numCache>
            </c:numRef>
          </c:val>
          <c:extLst>
            <c:ext xmlns:c16="http://schemas.microsoft.com/office/drawing/2014/chart" uri="{C3380CC4-5D6E-409C-BE32-E72D297353CC}">
              <c16:uniqueId val="{00000000-BF00-7942-88A8-A27B22C4DB6F}"/>
            </c:ext>
          </c:extLst>
        </c:ser>
        <c:dLbls>
          <c:showLegendKey val="0"/>
          <c:showVal val="0"/>
          <c:showCatName val="0"/>
          <c:showSerName val="0"/>
          <c:showPercent val="0"/>
          <c:showBubbleSize val="0"/>
        </c:dLbls>
        <c:gapWidth val="150"/>
        <c:shape val="box"/>
        <c:axId val="1942827711"/>
        <c:axId val="1942829503"/>
        <c:axId val="0"/>
      </c:bar3DChart>
      <c:catAx>
        <c:axId val="194282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rgbClr val="FF0000"/>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crossAx val="1942829503"/>
        <c:crosses val="autoZero"/>
        <c:auto val="1"/>
        <c:lblAlgn val="ctr"/>
        <c:lblOffset val="100"/>
        <c:noMultiLvlLbl val="0"/>
      </c:catAx>
      <c:valAx>
        <c:axId val="1942829503"/>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rgbClr val="FF0000"/>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crossAx val="194282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ln>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chart" Target="../charts/chart12.xml"/><Relationship Id="rId3" Type="http://schemas.microsoft.com/office/2007/relationships/hdphoto" Target="../media/hdphoto1.wdp"/><Relationship Id="rId7" Type="http://schemas.openxmlformats.org/officeDocument/2006/relationships/image" Target="../media/image6.png"/><Relationship Id="rId12"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5.jpeg"/><Relationship Id="rId11" Type="http://schemas.openxmlformats.org/officeDocument/2006/relationships/chart" Target="../charts/chart10.xml"/><Relationship Id="rId5" Type="http://schemas.openxmlformats.org/officeDocument/2006/relationships/image" Target="../media/image4.png"/><Relationship Id="rId15" Type="http://schemas.openxmlformats.org/officeDocument/2006/relationships/chart" Target="../charts/chart14.xml"/><Relationship Id="rId10" Type="http://schemas.openxmlformats.org/officeDocument/2006/relationships/chart" Target="../charts/chart9.xml"/><Relationship Id="rId4" Type="http://schemas.openxmlformats.org/officeDocument/2006/relationships/image" Target="../media/image3.jpeg"/><Relationship Id="rId9" Type="http://schemas.openxmlformats.org/officeDocument/2006/relationships/chart" Target="../charts/chart8.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482600</xdr:colOff>
      <xdr:row>46</xdr:row>
      <xdr:rowOff>158750</xdr:rowOff>
    </xdr:from>
    <xdr:to>
      <xdr:col>6</xdr:col>
      <xdr:colOff>25400</xdr:colOff>
      <xdr:row>61</xdr:row>
      <xdr:rowOff>44450</xdr:rowOff>
    </xdr:to>
    <xdr:graphicFrame macro="">
      <xdr:nvGraphicFramePr>
        <xdr:cNvPr id="2" name="Chart 1">
          <a:extLst>
            <a:ext uri="{FF2B5EF4-FFF2-40B4-BE49-F238E27FC236}">
              <a16:creationId xmlns:a16="http://schemas.microsoft.com/office/drawing/2014/main" id="{3154311A-8CB2-3C24-7907-3586087FA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501650</xdr:colOff>
      <xdr:row>43</xdr:row>
      <xdr:rowOff>38100</xdr:rowOff>
    </xdr:from>
    <xdr:to>
      <xdr:col>13</xdr:col>
      <xdr:colOff>69850</xdr:colOff>
      <xdr:row>61</xdr:row>
      <xdr:rowOff>19050</xdr:rowOff>
    </xdr:to>
    <xdr:graphicFrame macro="">
      <xdr:nvGraphicFramePr>
        <xdr:cNvPr id="3" name="Chart 2">
          <a:extLst>
            <a:ext uri="{FF2B5EF4-FFF2-40B4-BE49-F238E27FC236}">
              <a16:creationId xmlns:a16="http://schemas.microsoft.com/office/drawing/2014/main" id="{F2224523-4464-52DA-296E-2403F735B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311150</xdr:colOff>
      <xdr:row>43</xdr:row>
      <xdr:rowOff>31750</xdr:rowOff>
    </xdr:from>
    <xdr:to>
      <xdr:col>17</xdr:col>
      <xdr:colOff>806450</xdr:colOff>
      <xdr:row>57</xdr:row>
      <xdr:rowOff>107950</xdr:rowOff>
    </xdr:to>
    <xdr:graphicFrame macro="">
      <xdr:nvGraphicFramePr>
        <xdr:cNvPr id="4" name="Chart 3">
          <a:extLst>
            <a:ext uri="{FF2B5EF4-FFF2-40B4-BE49-F238E27FC236}">
              <a16:creationId xmlns:a16="http://schemas.microsoft.com/office/drawing/2014/main" id="{74A277FE-EDC2-E764-018A-2F85853D6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412750</xdr:colOff>
      <xdr:row>67</xdr:row>
      <xdr:rowOff>158750</xdr:rowOff>
    </xdr:from>
    <xdr:to>
      <xdr:col>11</xdr:col>
      <xdr:colOff>488950</xdr:colOff>
      <xdr:row>82</xdr:row>
      <xdr:rowOff>44450</xdr:rowOff>
    </xdr:to>
    <xdr:graphicFrame macro="">
      <xdr:nvGraphicFramePr>
        <xdr:cNvPr id="5" name="Chart 4">
          <a:extLst>
            <a:ext uri="{FF2B5EF4-FFF2-40B4-BE49-F238E27FC236}">
              <a16:creationId xmlns:a16="http://schemas.microsoft.com/office/drawing/2014/main" id="{829CD5CE-E8F4-7D50-1585-721257560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666750</xdr:colOff>
      <xdr:row>70</xdr:row>
      <xdr:rowOff>95250</xdr:rowOff>
    </xdr:from>
    <xdr:to>
      <xdr:col>16</xdr:col>
      <xdr:colOff>869950</xdr:colOff>
      <xdr:row>84</xdr:row>
      <xdr:rowOff>171450</xdr:rowOff>
    </xdr:to>
    <xdr:graphicFrame macro="">
      <xdr:nvGraphicFramePr>
        <xdr:cNvPr id="6" name="Chart 5">
          <a:extLst>
            <a:ext uri="{FF2B5EF4-FFF2-40B4-BE49-F238E27FC236}">
              <a16:creationId xmlns:a16="http://schemas.microsoft.com/office/drawing/2014/main" id="{1F2757C8-EB09-54C8-87BC-21EB009AA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882650</xdr:colOff>
      <xdr:row>66</xdr:row>
      <xdr:rowOff>44450</xdr:rowOff>
    </xdr:from>
    <xdr:to>
      <xdr:col>5</xdr:col>
      <xdr:colOff>450850</xdr:colOff>
      <xdr:row>80</xdr:row>
      <xdr:rowOff>120650</xdr:rowOff>
    </xdr:to>
    <xdr:graphicFrame macro="">
      <xdr:nvGraphicFramePr>
        <xdr:cNvPr id="16" name="Chart 15">
          <a:extLst>
            <a:ext uri="{FF2B5EF4-FFF2-40B4-BE49-F238E27FC236}">
              <a16:creationId xmlns:a16="http://schemas.microsoft.com/office/drawing/2014/main" id="{7C390F03-74FA-9386-5474-BF83ABC15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82550</xdr:colOff>
      <xdr:row>85</xdr:row>
      <xdr:rowOff>133350</xdr:rowOff>
    </xdr:from>
    <xdr:to>
      <xdr:col>10</xdr:col>
      <xdr:colOff>336550</xdr:colOff>
      <xdr:row>100</xdr:row>
      <xdr:rowOff>19050</xdr:rowOff>
    </xdr:to>
    <xdr:graphicFrame macro="">
      <xdr:nvGraphicFramePr>
        <xdr:cNvPr id="7" name="Chart 6">
          <a:extLst>
            <a:ext uri="{FF2B5EF4-FFF2-40B4-BE49-F238E27FC236}">
              <a16:creationId xmlns:a16="http://schemas.microsoft.com/office/drawing/2014/main" id="{493872B6-75AC-DBD8-907F-9090FB0C9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368300</xdr:colOff>
      <xdr:row>29</xdr:row>
      <xdr:rowOff>177800</xdr:rowOff>
    </xdr:from>
    <xdr:to>
      <xdr:col>10</xdr:col>
      <xdr:colOff>254000</xdr:colOff>
      <xdr:row>42</xdr:row>
      <xdr:rowOff>130169</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CF3825BD-DBE1-F692-3C81-94CF767B0A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051800" y="5702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38100</xdr:rowOff>
    </xdr:from>
    <xdr:to>
      <xdr:col>22</xdr:col>
      <xdr:colOff>63500</xdr:colOff>
      <xdr:row>4</xdr:row>
      <xdr:rowOff>0</xdr:rowOff>
    </xdr:to>
    <xdr:sp macro="" textlink="">
      <xdr:nvSpPr>
        <xdr:cNvPr id="3" name="Rectangle 2">
          <a:extLst>
            <a:ext uri="{FF2B5EF4-FFF2-40B4-BE49-F238E27FC236}">
              <a16:creationId xmlns:a16="http://schemas.microsoft.com/office/drawing/2014/main" id="{261106D5-84AB-AEA5-888A-A1944C1923A2}"/>
            </a:ext>
          </a:extLst>
        </xdr:cNvPr>
        <xdr:cNvSpPr/>
      </xdr:nvSpPr>
      <xdr:spPr>
        <a:xfrm>
          <a:off x="76200" y="38100"/>
          <a:ext cx="18148300" cy="7239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C00000"/>
            </a:solidFill>
          </a:endParaRPr>
        </a:p>
      </xdr:txBody>
    </xdr:sp>
    <xdr:clientData/>
  </xdr:twoCellAnchor>
  <xdr:twoCellAnchor>
    <xdr:from>
      <xdr:col>4</xdr:col>
      <xdr:colOff>393700</xdr:colOff>
      <xdr:row>4</xdr:row>
      <xdr:rowOff>12700</xdr:rowOff>
    </xdr:from>
    <xdr:to>
      <xdr:col>8</xdr:col>
      <xdr:colOff>711200</xdr:colOff>
      <xdr:row>7</xdr:row>
      <xdr:rowOff>88900</xdr:rowOff>
    </xdr:to>
    <xdr:sp macro="" textlink="">
      <xdr:nvSpPr>
        <xdr:cNvPr id="5" name="Rectangle 4">
          <a:extLst>
            <a:ext uri="{FF2B5EF4-FFF2-40B4-BE49-F238E27FC236}">
              <a16:creationId xmlns:a16="http://schemas.microsoft.com/office/drawing/2014/main" id="{762C563F-49F9-DBC0-BFC1-FE84F3C978FA}"/>
            </a:ext>
          </a:extLst>
        </xdr:cNvPr>
        <xdr:cNvSpPr/>
      </xdr:nvSpPr>
      <xdr:spPr>
        <a:xfrm>
          <a:off x="3695700" y="774700"/>
          <a:ext cx="3619500" cy="6477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711200</xdr:colOff>
      <xdr:row>4</xdr:row>
      <xdr:rowOff>12700</xdr:rowOff>
    </xdr:from>
    <xdr:to>
      <xdr:col>13</xdr:col>
      <xdr:colOff>203200</xdr:colOff>
      <xdr:row>7</xdr:row>
      <xdr:rowOff>101600</xdr:rowOff>
    </xdr:to>
    <xdr:sp macro="" textlink="">
      <xdr:nvSpPr>
        <xdr:cNvPr id="6" name="Rectangle 5">
          <a:extLst>
            <a:ext uri="{FF2B5EF4-FFF2-40B4-BE49-F238E27FC236}">
              <a16:creationId xmlns:a16="http://schemas.microsoft.com/office/drawing/2014/main" id="{49CB09B3-5589-D141-BA80-FED63F059773}"/>
            </a:ext>
          </a:extLst>
        </xdr:cNvPr>
        <xdr:cNvSpPr/>
      </xdr:nvSpPr>
      <xdr:spPr>
        <a:xfrm>
          <a:off x="7315200" y="774700"/>
          <a:ext cx="3619500" cy="6604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241300</xdr:colOff>
      <xdr:row>4</xdr:row>
      <xdr:rowOff>12700</xdr:rowOff>
    </xdr:from>
    <xdr:to>
      <xdr:col>17</xdr:col>
      <xdr:colOff>520700</xdr:colOff>
      <xdr:row>7</xdr:row>
      <xdr:rowOff>88900</xdr:rowOff>
    </xdr:to>
    <xdr:sp macro="" textlink="">
      <xdr:nvSpPr>
        <xdr:cNvPr id="7" name="Rectangle 6">
          <a:extLst>
            <a:ext uri="{FF2B5EF4-FFF2-40B4-BE49-F238E27FC236}">
              <a16:creationId xmlns:a16="http://schemas.microsoft.com/office/drawing/2014/main" id="{521D92B1-7F18-B64A-A830-4B5B6A96C28F}"/>
            </a:ext>
          </a:extLst>
        </xdr:cNvPr>
        <xdr:cNvSpPr/>
      </xdr:nvSpPr>
      <xdr:spPr>
        <a:xfrm>
          <a:off x="10972800" y="774700"/>
          <a:ext cx="3581400" cy="6477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571500</xdr:colOff>
      <xdr:row>4</xdr:row>
      <xdr:rowOff>12700</xdr:rowOff>
    </xdr:from>
    <xdr:to>
      <xdr:col>22</xdr:col>
      <xdr:colOff>63500</xdr:colOff>
      <xdr:row>7</xdr:row>
      <xdr:rowOff>88900</xdr:rowOff>
    </xdr:to>
    <xdr:sp macro="" textlink="">
      <xdr:nvSpPr>
        <xdr:cNvPr id="8" name="Rectangle 7">
          <a:extLst>
            <a:ext uri="{FF2B5EF4-FFF2-40B4-BE49-F238E27FC236}">
              <a16:creationId xmlns:a16="http://schemas.microsoft.com/office/drawing/2014/main" id="{61EFDC63-FE81-9345-B0C5-91C2E8B1D658}"/>
            </a:ext>
          </a:extLst>
        </xdr:cNvPr>
        <xdr:cNvSpPr/>
      </xdr:nvSpPr>
      <xdr:spPr>
        <a:xfrm>
          <a:off x="14605000" y="774700"/>
          <a:ext cx="3619500" cy="6477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4</xdr:row>
      <xdr:rowOff>0</xdr:rowOff>
    </xdr:from>
    <xdr:to>
      <xdr:col>4</xdr:col>
      <xdr:colOff>381000</xdr:colOff>
      <xdr:row>7</xdr:row>
      <xdr:rowOff>88900</xdr:rowOff>
    </xdr:to>
    <xdr:sp macro="" textlink="">
      <xdr:nvSpPr>
        <xdr:cNvPr id="10" name="Rectangle 9">
          <a:extLst>
            <a:ext uri="{FF2B5EF4-FFF2-40B4-BE49-F238E27FC236}">
              <a16:creationId xmlns:a16="http://schemas.microsoft.com/office/drawing/2014/main" id="{20250CF0-BA12-DC44-8191-39DEB98158BC}"/>
            </a:ext>
          </a:extLst>
        </xdr:cNvPr>
        <xdr:cNvSpPr/>
      </xdr:nvSpPr>
      <xdr:spPr>
        <a:xfrm>
          <a:off x="76200" y="762000"/>
          <a:ext cx="3606800" cy="6604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7</xdr:row>
      <xdr:rowOff>88900</xdr:rowOff>
    </xdr:from>
    <xdr:to>
      <xdr:col>7</xdr:col>
      <xdr:colOff>342900</xdr:colOff>
      <xdr:row>22</xdr:row>
      <xdr:rowOff>139700</xdr:rowOff>
    </xdr:to>
    <xdr:sp macro="" textlink="">
      <xdr:nvSpPr>
        <xdr:cNvPr id="11" name="Rectangle 10">
          <a:extLst>
            <a:ext uri="{FF2B5EF4-FFF2-40B4-BE49-F238E27FC236}">
              <a16:creationId xmlns:a16="http://schemas.microsoft.com/office/drawing/2014/main" id="{98F764F3-DE68-E7B6-3C2F-C1D1B900F511}"/>
            </a:ext>
          </a:extLst>
        </xdr:cNvPr>
        <xdr:cNvSpPr/>
      </xdr:nvSpPr>
      <xdr:spPr>
        <a:xfrm>
          <a:off x="76200" y="1422400"/>
          <a:ext cx="6045200" cy="29083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rgbClr val="912523"/>
            </a:solidFill>
            <a:effectLst>
              <a:outerShdw blurRad="38100" dist="19050" dir="2700000" algn="tl" rotWithShape="0">
                <a:schemeClr val="dk1">
                  <a:alpha val="40000"/>
                </a:schemeClr>
              </a:outerShdw>
            </a:effectLst>
          </a:endParaRPr>
        </a:p>
      </xdr:txBody>
    </xdr:sp>
    <xdr:clientData/>
  </xdr:twoCellAnchor>
  <xdr:twoCellAnchor>
    <xdr:from>
      <xdr:col>7</xdr:col>
      <xdr:colOff>342900</xdr:colOff>
      <xdr:row>7</xdr:row>
      <xdr:rowOff>101600</xdr:rowOff>
    </xdr:from>
    <xdr:to>
      <xdr:col>15</xdr:col>
      <xdr:colOff>355600</xdr:colOff>
      <xdr:row>22</xdr:row>
      <xdr:rowOff>152400</xdr:rowOff>
    </xdr:to>
    <xdr:sp macro="" textlink="">
      <xdr:nvSpPr>
        <xdr:cNvPr id="13" name="Rectangle 12">
          <a:extLst>
            <a:ext uri="{FF2B5EF4-FFF2-40B4-BE49-F238E27FC236}">
              <a16:creationId xmlns:a16="http://schemas.microsoft.com/office/drawing/2014/main" id="{F702F56E-5C23-3141-A3E2-0CCAB6001C7E}"/>
            </a:ext>
          </a:extLst>
        </xdr:cNvPr>
        <xdr:cNvSpPr/>
      </xdr:nvSpPr>
      <xdr:spPr>
        <a:xfrm>
          <a:off x="6121400" y="1435100"/>
          <a:ext cx="6616700" cy="29083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solidFill>
                <a:srgbClr val="8C2523"/>
              </a:solidFill>
            </a:ln>
            <a:solidFill>
              <a:schemeClr val="accent2">
                <a:lumMod val="75000"/>
              </a:schemeClr>
            </a:solidFill>
          </a:endParaRPr>
        </a:p>
      </xdr:txBody>
    </xdr:sp>
    <xdr:clientData/>
  </xdr:twoCellAnchor>
  <xdr:twoCellAnchor>
    <xdr:from>
      <xdr:col>15</xdr:col>
      <xdr:colOff>215900</xdr:colOff>
      <xdr:row>7</xdr:row>
      <xdr:rowOff>101600</xdr:rowOff>
    </xdr:from>
    <xdr:to>
      <xdr:col>22</xdr:col>
      <xdr:colOff>63500</xdr:colOff>
      <xdr:row>22</xdr:row>
      <xdr:rowOff>139700</xdr:rowOff>
    </xdr:to>
    <xdr:sp macro="" textlink="">
      <xdr:nvSpPr>
        <xdr:cNvPr id="14" name="Rectangle 13">
          <a:extLst>
            <a:ext uri="{FF2B5EF4-FFF2-40B4-BE49-F238E27FC236}">
              <a16:creationId xmlns:a16="http://schemas.microsoft.com/office/drawing/2014/main" id="{E87FBD3E-B092-9B44-854A-B484FFF80F8A}"/>
            </a:ext>
          </a:extLst>
        </xdr:cNvPr>
        <xdr:cNvSpPr/>
      </xdr:nvSpPr>
      <xdr:spPr>
        <a:xfrm>
          <a:off x="12598400" y="1435100"/>
          <a:ext cx="5626100" cy="28956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22</xdr:row>
      <xdr:rowOff>139700</xdr:rowOff>
    </xdr:from>
    <xdr:to>
      <xdr:col>5</xdr:col>
      <xdr:colOff>584200</xdr:colOff>
      <xdr:row>43</xdr:row>
      <xdr:rowOff>152400</xdr:rowOff>
    </xdr:to>
    <xdr:sp macro="" textlink="">
      <xdr:nvSpPr>
        <xdr:cNvPr id="15" name="Rectangle 14">
          <a:extLst>
            <a:ext uri="{FF2B5EF4-FFF2-40B4-BE49-F238E27FC236}">
              <a16:creationId xmlns:a16="http://schemas.microsoft.com/office/drawing/2014/main" id="{DBAD91A9-4E0B-764E-A1D0-63245A467422}"/>
            </a:ext>
          </a:extLst>
        </xdr:cNvPr>
        <xdr:cNvSpPr/>
      </xdr:nvSpPr>
      <xdr:spPr>
        <a:xfrm>
          <a:off x="76200" y="4330700"/>
          <a:ext cx="4635500" cy="40132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558800</xdr:colOff>
      <xdr:row>22</xdr:row>
      <xdr:rowOff>152400</xdr:rowOff>
    </xdr:from>
    <xdr:to>
      <xdr:col>12</xdr:col>
      <xdr:colOff>596900</xdr:colOff>
      <xdr:row>43</xdr:row>
      <xdr:rowOff>152400</xdr:rowOff>
    </xdr:to>
    <xdr:sp macro="" textlink="">
      <xdr:nvSpPr>
        <xdr:cNvPr id="16" name="Rectangle 15">
          <a:extLst>
            <a:ext uri="{FF2B5EF4-FFF2-40B4-BE49-F238E27FC236}">
              <a16:creationId xmlns:a16="http://schemas.microsoft.com/office/drawing/2014/main" id="{971104C3-9753-D24E-AC3F-2BA1BAE5065E}"/>
            </a:ext>
          </a:extLst>
        </xdr:cNvPr>
        <xdr:cNvSpPr/>
      </xdr:nvSpPr>
      <xdr:spPr>
        <a:xfrm>
          <a:off x="4686300" y="4343400"/>
          <a:ext cx="5816600" cy="40005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596900</xdr:colOff>
      <xdr:row>22</xdr:row>
      <xdr:rowOff>139700</xdr:rowOff>
    </xdr:from>
    <xdr:to>
      <xdr:col>16</xdr:col>
      <xdr:colOff>774700</xdr:colOff>
      <xdr:row>43</xdr:row>
      <xdr:rowOff>152400</xdr:rowOff>
    </xdr:to>
    <xdr:sp macro="" textlink="">
      <xdr:nvSpPr>
        <xdr:cNvPr id="17" name="Rectangle 16">
          <a:extLst>
            <a:ext uri="{FF2B5EF4-FFF2-40B4-BE49-F238E27FC236}">
              <a16:creationId xmlns:a16="http://schemas.microsoft.com/office/drawing/2014/main" id="{54A250C9-6B1B-5147-AFC3-2558BFED5980}"/>
            </a:ext>
          </a:extLst>
        </xdr:cNvPr>
        <xdr:cNvSpPr/>
      </xdr:nvSpPr>
      <xdr:spPr>
        <a:xfrm>
          <a:off x="10502900" y="4330700"/>
          <a:ext cx="3479800" cy="40132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800100</xdr:colOff>
      <xdr:row>22</xdr:row>
      <xdr:rowOff>152400</xdr:rowOff>
    </xdr:from>
    <xdr:to>
      <xdr:col>22</xdr:col>
      <xdr:colOff>63500</xdr:colOff>
      <xdr:row>43</xdr:row>
      <xdr:rowOff>152400</xdr:rowOff>
    </xdr:to>
    <xdr:sp macro="" textlink="">
      <xdr:nvSpPr>
        <xdr:cNvPr id="18" name="Rectangle 17">
          <a:extLst>
            <a:ext uri="{FF2B5EF4-FFF2-40B4-BE49-F238E27FC236}">
              <a16:creationId xmlns:a16="http://schemas.microsoft.com/office/drawing/2014/main" id="{D09FAA56-F7E3-D443-8F3D-51AE7131965F}"/>
            </a:ext>
          </a:extLst>
        </xdr:cNvPr>
        <xdr:cNvSpPr/>
      </xdr:nvSpPr>
      <xdr:spPr>
        <a:xfrm>
          <a:off x="14008100" y="4343400"/>
          <a:ext cx="4216400" cy="4000500"/>
        </a:xfrm>
        <a:prstGeom prst="rect">
          <a:avLst/>
        </a:prstGeom>
        <a:solidFill>
          <a:schemeClr val="tx1"/>
        </a:solidFill>
        <a:ln w="76200">
          <a:solidFill>
            <a:srgbClr val="91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495300</xdr:colOff>
      <xdr:row>4</xdr:row>
      <xdr:rowOff>50800</xdr:rowOff>
    </xdr:from>
    <xdr:to>
      <xdr:col>6</xdr:col>
      <xdr:colOff>685800</xdr:colOff>
      <xdr:row>6</xdr:row>
      <xdr:rowOff>12700</xdr:rowOff>
    </xdr:to>
    <xdr:sp macro="" textlink="analysing!L33">
      <xdr:nvSpPr>
        <xdr:cNvPr id="12" name="TextBox 11">
          <a:extLst>
            <a:ext uri="{FF2B5EF4-FFF2-40B4-BE49-F238E27FC236}">
              <a16:creationId xmlns:a16="http://schemas.microsoft.com/office/drawing/2014/main" id="{7F4AD7A5-5DAD-05FC-8743-1E95C0B03D09}"/>
            </a:ext>
          </a:extLst>
        </xdr:cNvPr>
        <xdr:cNvSpPr txBox="1"/>
      </xdr:nvSpPr>
      <xdr:spPr>
        <a:xfrm>
          <a:off x="3797300" y="812800"/>
          <a:ext cx="1841500" cy="3429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fld id="{953677B7-74F1-D946-967F-C760EE47A335}" type="TxLink">
            <a:rPr lang="en-US" sz="1800" b="1" i="0" u="none" strike="noStrike" cap="none" spc="0">
              <a:ln>
                <a:solidFill>
                  <a:schemeClr val="accent2">
                    <a:lumMod val="75000"/>
                  </a:schemeClr>
                </a:solidFill>
              </a:ln>
              <a:solidFill>
                <a:schemeClr val="accent4"/>
              </a:solidFill>
              <a:effectLst/>
              <a:latin typeface="Calibri"/>
              <a:cs typeface="Calibri"/>
            </a:rPr>
            <a:pPr/>
            <a:t>Sum of Fatalities</a:t>
          </a:fld>
          <a:endParaRPr lang="en-GB" sz="1800" b="1" cap="none" spc="0">
            <a:ln>
              <a:solidFill>
                <a:schemeClr val="accent2">
                  <a:lumMod val="75000"/>
                </a:schemeClr>
              </a:solidFill>
            </a:ln>
            <a:solidFill>
              <a:schemeClr val="accent4"/>
            </a:solidFill>
            <a:effectLst/>
          </a:endParaRPr>
        </a:p>
      </xdr:txBody>
    </xdr:sp>
    <xdr:clientData/>
  </xdr:twoCellAnchor>
  <xdr:twoCellAnchor>
    <xdr:from>
      <xdr:col>9</xdr:col>
      <xdr:colOff>50800</xdr:colOff>
      <xdr:row>4</xdr:row>
      <xdr:rowOff>50800</xdr:rowOff>
    </xdr:from>
    <xdr:to>
      <xdr:col>11</xdr:col>
      <xdr:colOff>127000</xdr:colOff>
      <xdr:row>5</xdr:row>
      <xdr:rowOff>152908</xdr:rowOff>
    </xdr:to>
    <xdr:sp macro="" textlink="analysing!N33">
      <xdr:nvSpPr>
        <xdr:cNvPr id="19" name="TextBox 18">
          <a:extLst>
            <a:ext uri="{FF2B5EF4-FFF2-40B4-BE49-F238E27FC236}">
              <a16:creationId xmlns:a16="http://schemas.microsoft.com/office/drawing/2014/main" id="{CE359DFF-BC08-F4D7-C96C-4193DDC0033F}"/>
            </a:ext>
          </a:extLst>
        </xdr:cNvPr>
        <xdr:cNvSpPr txBox="1"/>
      </xdr:nvSpPr>
      <xdr:spPr>
        <a:xfrm>
          <a:off x="7480300" y="812800"/>
          <a:ext cx="1727200" cy="29260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fld id="{41C51479-CEC9-3E46-910B-F9BFDCD643DC}" type="TxLink">
            <a:rPr lang="en-US" sz="1800" b="1" i="0" u="none" strike="noStrike" cap="none" spc="0">
              <a:ln>
                <a:solidFill>
                  <a:schemeClr val="accent2">
                    <a:lumMod val="75000"/>
                  </a:schemeClr>
                </a:solidFill>
              </a:ln>
              <a:solidFill>
                <a:schemeClr val="accent4"/>
              </a:solidFill>
              <a:effectLst/>
              <a:latin typeface="Calibri"/>
              <a:cs typeface="Calibri"/>
            </a:rPr>
            <a:pPr/>
            <a:t>Sum of Injuries</a:t>
          </a:fld>
          <a:endParaRPr lang="en-GB" sz="1800" b="1" cap="none" spc="0">
            <a:ln>
              <a:solidFill>
                <a:schemeClr val="accent2">
                  <a:lumMod val="75000"/>
                </a:schemeClr>
              </a:solidFill>
            </a:ln>
            <a:solidFill>
              <a:schemeClr val="accent4"/>
            </a:solidFill>
            <a:effectLst/>
          </a:endParaRPr>
        </a:p>
      </xdr:txBody>
    </xdr:sp>
    <xdr:clientData/>
  </xdr:twoCellAnchor>
  <xdr:twoCellAnchor>
    <xdr:from>
      <xdr:col>13</xdr:col>
      <xdr:colOff>368300</xdr:colOff>
      <xdr:row>4</xdr:row>
      <xdr:rowOff>50800</xdr:rowOff>
    </xdr:from>
    <xdr:to>
      <xdr:col>14</xdr:col>
      <xdr:colOff>381000</xdr:colOff>
      <xdr:row>6</xdr:row>
      <xdr:rowOff>0</xdr:rowOff>
    </xdr:to>
    <xdr:sp macro="" textlink="analysing!Q31">
      <xdr:nvSpPr>
        <xdr:cNvPr id="20" name="TextBox 19">
          <a:extLst>
            <a:ext uri="{FF2B5EF4-FFF2-40B4-BE49-F238E27FC236}">
              <a16:creationId xmlns:a16="http://schemas.microsoft.com/office/drawing/2014/main" id="{233DC365-B294-ED63-F106-B65723A9D9DB}"/>
            </a:ext>
          </a:extLst>
        </xdr:cNvPr>
        <xdr:cNvSpPr txBox="1"/>
      </xdr:nvSpPr>
      <xdr:spPr>
        <a:xfrm>
          <a:off x="11099800" y="812800"/>
          <a:ext cx="838200" cy="3302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fld id="{85913BD1-D9C6-1A4A-8793-0B34BAED1E15}" type="TxLink">
            <a:rPr lang="en-US" sz="1800" b="1" i="0" u="none" strike="noStrike" cap="none" spc="0">
              <a:ln>
                <a:solidFill>
                  <a:schemeClr val="accent2">
                    <a:lumMod val="75000"/>
                  </a:schemeClr>
                </a:solidFill>
              </a:ln>
              <a:solidFill>
                <a:schemeClr val="accent4"/>
              </a:solidFill>
              <a:effectLst/>
              <a:latin typeface="Calibri"/>
              <a:cs typeface="Calibri"/>
            </a:rPr>
            <a:pPr/>
            <a:t>Urban</a:t>
          </a:fld>
          <a:endParaRPr lang="en-GB" sz="1800" b="1" cap="none" spc="0">
            <a:ln>
              <a:solidFill>
                <a:schemeClr val="accent2">
                  <a:lumMod val="75000"/>
                </a:schemeClr>
              </a:solidFill>
            </a:ln>
            <a:solidFill>
              <a:schemeClr val="accent4"/>
            </a:solidFill>
            <a:effectLst/>
          </a:endParaRPr>
        </a:p>
      </xdr:txBody>
    </xdr:sp>
    <xdr:clientData/>
  </xdr:twoCellAnchor>
  <xdr:twoCellAnchor>
    <xdr:from>
      <xdr:col>28</xdr:col>
      <xdr:colOff>635000</xdr:colOff>
      <xdr:row>15</xdr:row>
      <xdr:rowOff>25400</xdr:rowOff>
    </xdr:from>
    <xdr:to>
      <xdr:col>47</xdr:col>
      <xdr:colOff>622300</xdr:colOff>
      <xdr:row>17</xdr:row>
      <xdr:rowOff>0</xdr:rowOff>
    </xdr:to>
    <xdr:sp macro="" textlink="">
      <xdr:nvSpPr>
        <xdr:cNvPr id="21" name="TextBox 20">
          <a:extLst>
            <a:ext uri="{FF2B5EF4-FFF2-40B4-BE49-F238E27FC236}">
              <a16:creationId xmlns:a16="http://schemas.microsoft.com/office/drawing/2014/main" id="{07DEE66F-D848-6D03-B4A8-8F2EDF18F15E}"/>
            </a:ext>
          </a:extLst>
        </xdr:cNvPr>
        <xdr:cNvSpPr txBox="1"/>
      </xdr:nvSpPr>
      <xdr:spPr>
        <a:xfrm flipH="1">
          <a:off x="23749000" y="2882900"/>
          <a:ext cx="15671800" cy="3556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solidFill>
              <a:sysClr val="windowText" lastClr="000000"/>
            </a:solidFill>
          </a:endParaRPr>
        </a:p>
      </xdr:txBody>
    </xdr:sp>
    <xdr:clientData/>
  </xdr:twoCellAnchor>
  <xdr:twoCellAnchor>
    <xdr:from>
      <xdr:col>17</xdr:col>
      <xdr:colOff>723900</xdr:colOff>
      <xdr:row>4</xdr:row>
      <xdr:rowOff>63500</xdr:rowOff>
    </xdr:from>
    <xdr:to>
      <xdr:col>20</xdr:col>
      <xdr:colOff>571500</xdr:colOff>
      <xdr:row>6</xdr:row>
      <xdr:rowOff>12700</xdr:rowOff>
    </xdr:to>
    <xdr:sp macro="" textlink="analysing!P24">
      <xdr:nvSpPr>
        <xdr:cNvPr id="22" name="TextBox 21">
          <a:extLst>
            <a:ext uri="{FF2B5EF4-FFF2-40B4-BE49-F238E27FC236}">
              <a16:creationId xmlns:a16="http://schemas.microsoft.com/office/drawing/2014/main" id="{BAC62434-788F-0D02-3C9F-B154B228C909}"/>
            </a:ext>
          </a:extLst>
        </xdr:cNvPr>
        <xdr:cNvSpPr txBox="1"/>
      </xdr:nvSpPr>
      <xdr:spPr>
        <a:xfrm>
          <a:off x="14757400" y="825500"/>
          <a:ext cx="2324100" cy="3302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fld id="{6E1F60A8-B4E2-FA4A-9997-970C92B4EE2D}" type="TxLink">
            <a:rPr lang="en-US" sz="1800" b="1" i="0" u="none" strike="noStrike" cap="none" spc="0">
              <a:ln>
                <a:solidFill>
                  <a:schemeClr val="accent2">
                    <a:lumMod val="75000"/>
                  </a:schemeClr>
                </a:solidFill>
              </a:ln>
              <a:solidFill>
                <a:schemeClr val="accent4"/>
              </a:solidFill>
              <a:effectLst/>
              <a:latin typeface="Calibri"/>
              <a:cs typeface="Calibri"/>
            </a:rPr>
            <a:pPr/>
            <a:t>Rural</a:t>
          </a:fld>
          <a:endParaRPr lang="en-GB" sz="1800" b="1" cap="none" spc="0">
            <a:ln>
              <a:solidFill>
                <a:schemeClr val="accent2">
                  <a:lumMod val="75000"/>
                </a:schemeClr>
              </a:solidFill>
            </a:ln>
            <a:solidFill>
              <a:schemeClr val="accent4"/>
            </a:solidFill>
            <a:effectLst/>
          </a:endParaRPr>
        </a:p>
      </xdr:txBody>
    </xdr:sp>
    <xdr:clientData/>
  </xdr:twoCellAnchor>
  <xdr:twoCellAnchor>
    <xdr:from>
      <xdr:col>5</xdr:col>
      <xdr:colOff>203200</xdr:colOff>
      <xdr:row>5</xdr:row>
      <xdr:rowOff>127000</xdr:rowOff>
    </xdr:from>
    <xdr:to>
      <xdr:col>6</xdr:col>
      <xdr:colOff>368300</xdr:colOff>
      <xdr:row>7</xdr:row>
      <xdr:rowOff>12700</xdr:rowOff>
    </xdr:to>
    <xdr:sp macro="" textlink="analysing!L34">
      <xdr:nvSpPr>
        <xdr:cNvPr id="26" name="TextBox 25">
          <a:extLst>
            <a:ext uri="{FF2B5EF4-FFF2-40B4-BE49-F238E27FC236}">
              <a16:creationId xmlns:a16="http://schemas.microsoft.com/office/drawing/2014/main" id="{F7DB8D94-4883-E772-0367-D1542E0C9048}"/>
            </a:ext>
          </a:extLst>
        </xdr:cNvPr>
        <xdr:cNvSpPr txBox="1"/>
      </xdr:nvSpPr>
      <xdr:spPr>
        <a:xfrm>
          <a:off x="4330700" y="1079500"/>
          <a:ext cx="990600" cy="2667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26A917A0-1A2E-8B4F-8024-F45A91899B5D}" type="TxLink">
            <a:rPr lang="en-US" sz="1800" b="1" i="0" u="none" strike="noStrike" cap="none" spc="0">
              <a:ln w="10160">
                <a:solidFill>
                  <a:srgbClr val="8C2523"/>
                </a:solidFill>
                <a:prstDash val="solid"/>
              </a:ln>
              <a:solidFill>
                <a:srgbClr val="FFFFFF"/>
              </a:solidFill>
              <a:effectLst>
                <a:outerShdw blurRad="38100" dist="22860" dir="5400000" algn="tl" rotWithShape="0">
                  <a:srgbClr val="000000">
                    <a:alpha val="30000"/>
                  </a:srgbClr>
                </a:outerShdw>
              </a:effectLst>
              <a:latin typeface="Calibri"/>
              <a:ea typeface="+mn-ea"/>
              <a:cs typeface="Calibri"/>
            </a:rPr>
            <a:pPr marL="0" marR="0" lvl="0" indent="0" defTabSz="914400" eaLnBrk="1" fontAlgn="auto" latinLnBrk="0" hangingPunct="1">
              <a:lnSpc>
                <a:spcPct val="100000"/>
              </a:lnSpc>
              <a:spcBef>
                <a:spcPts val="0"/>
              </a:spcBef>
              <a:spcAft>
                <a:spcPts val="0"/>
              </a:spcAft>
              <a:buClrTx/>
              <a:buSzTx/>
              <a:buFontTx/>
              <a:buNone/>
              <a:tabLst/>
              <a:defRPr/>
            </a:pPr>
            <a:t>981</a:t>
          </a:fld>
          <a:endParaRPr lang="en-GB" sz="1800">
            <a:ln w="10160">
              <a:solidFill>
                <a:srgbClr val="8C2523"/>
              </a:solidFill>
              <a:prstDash val="solid"/>
            </a:ln>
          </a:endParaRPr>
        </a:p>
      </xdr:txBody>
    </xdr:sp>
    <xdr:clientData/>
  </xdr:twoCellAnchor>
  <xdr:twoCellAnchor>
    <xdr:from>
      <xdr:col>9</xdr:col>
      <xdr:colOff>342900</xdr:colOff>
      <xdr:row>5</xdr:row>
      <xdr:rowOff>139700</xdr:rowOff>
    </xdr:from>
    <xdr:to>
      <xdr:col>10</xdr:col>
      <xdr:colOff>431800</xdr:colOff>
      <xdr:row>7</xdr:row>
      <xdr:rowOff>50800</xdr:rowOff>
    </xdr:to>
    <xdr:sp macro="" textlink="analysing!N34">
      <xdr:nvSpPr>
        <xdr:cNvPr id="28" name="TextBox 27">
          <a:extLst>
            <a:ext uri="{FF2B5EF4-FFF2-40B4-BE49-F238E27FC236}">
              <a16:creationId xmlns:a16="http://schemas.microsoft.com/office/drawing/2014/main" id="{F4FCECC0-A30D-1AE7-F3ED-EEB3C6EF4475}"/>
            </a:ext>
          </a:extLst>
        </xdr:cNvPr>
        <xdr:cNvSpPr txBox="1"/>
      </xdr:nvSpPr>
      <xdr:spPr>
        <a:xfrm>
          <a:off x="7772400" y="1092200"/>
          <a:ext cx="914400" cy="2921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00FC59-CB13-CF40-B503-D2968354849C}" type="TxLink">
            <a:rPr lang="en-US" sz="1800" b="1" i="0" u="none" strike="noStrike" cap="none" spc="0">
              <a:ln w="10160">
                <a:solidFill>
                  <a:srgbClr val="8C2523"/>
                </a:solidFill>
                <a:prstDash val="solid"/>
              </a:ln>
              <a:solidFill>
                <a:srgbClr val="FFFFFF"/>
              </a:solidFill>
              <a:effectLst>
                <a:outerShdw blurRad="38100" dist="22860" dir="5400000" algn="tl" rotWithShape="0">
                  <a:srgbClr val="000000">
                    <a:alpha val="30000"/>
                  </a:srgbClr>
                </a:outerShdw>
              </a:effectLst>
              <a:latin typeface="Calibri"/>
              <a:cs typeface="Calibri"/>
            </a:rPr>
            <a:pPr/>
            <a:t>1267</a:t>
          </a:fld>
          <a:endParaRPr lang="en-GB" sz="1800" b="0" cap="none" spc="0">
            <a:ln w="10160">
              <a:solidFill>
                <a:srgbClr val="8C2523"/>
              </a:solidFill>
              <a:prstDash val="solid"/>
            </a:ln>
            <a:solidFill>
              <a:srgbClr val="611823"/>
            </a:solidFill>
            <a:effectLst>
              <a:outerShdw blurRad="38100" dist="25400" dir="5400000" algn="ctr" rotWithShape="0">
                <a:srgbClr val="6E747A">
                  <a:alpha val="43000"/>
                </a:srgbClr>
              </a:outerShdw>
            </a:effectLst>
          </a:endParaRPr>
        </a:p>
      </xdr:txBody>
    </xdr:sp>
    <xdr:clientData/>
  </xdr:twoCellAnchor>
  <xdr:twoCellAnchor>
    <xdr:from>
      <xdr:col>13</xdr:col>
      <xdr:colOff>444500</xdr:colOff>
      <xdr:row>5</xdr:row>
      <xdr:rowOff>127000</xdr:rowOff>
    </xdr:from>
    <xdr:to>
      <xdr:col>14</xdr:col>
      <xdr:colOff>279400</xdr:colOff>
      <xdr:row>7</xdr:row>
      <xdr:rowOff>25400</xdr:rowOff>
    </xdr:to>
    <xdr:sp macro="" textlink="analysing!R31">
      <xdr:nvSpPr>
        <xdr:cNvPr id="30" name="TextBox 29">
          <a:extLst>
            <a:ext uri="{FF2B5EF4-FFF2-40B4-BE49-F238E27FC236}">
              <a16:creationId xmlns:a16="http://schemas.microsoft.com/office/drawing/2014/main" id="{D1FBB051-AF52-6D72-4A35-AE1B60DA6CAB}"/>
            </a:ext>
          </a:extLst>
        </xdr:cNvPr>
        <xdr:cNvSpPr txBox="1"/>
      </xdr:nvSpPr>
      <xdr:spPr>
        <a:xfrm>
          <a:off x="11176000" y="1079500"/>
          <a:ext cx="660400" cy="2794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52FBA6-9029-6140-B2CC-82CF9FB4B096}" type="TxLink">
            <a:rPr lang="en-US" sz="1800" b="1" i="0" u="none" strike="noStrike" cap="none" spc="0">
              <a:ln w="10160">
                <a:solidFill>
                  <a:srgbClr val="8C2523"/>
                </a:solidFill>
                <a:prstDash val="solid"/>
              </a:ln>
              <a:solidFill>
                <a:srgbClr val="FFFFFF"/>
              </a:solidFill>
              <a:effectLst>
                <a:outerShdw blurRad="38100" dist="22860" dir="5400000" algn="tl" rotWithShape="0">
                  <a:srgbClr val="000000">
                    <a:alpha val="30000"/>
                  </a:srgbClr>
                </a:outerShdw>
              </a:effectLst>
              <a:latin typeface="Calibri"/>
              <a:cs typeface="Calibri"/>
            </a:rPr>
            <a:pPr/>
            <a:t>472</a:t>
          </a:fld>
          <a:endParaRPr lang="en-GB" sz="1800" b="0" cap="none" spc="0">
            <a:ln w="10160">
              <a:solidFill>
                <a:srgbClr val="8C2523"/>
              </a:solidFill>
              <a:prstDash val="solid"/>
            </a:ln>
            <a:solidFill>
              <a:srgbClr val="611823"/>
            </a:solidFill>
            <a:effectLst>
              <a:outerShdw blurRad="38100" dist="25400" dir="5400000" algn="ctr" rotWithShape="0">
                <a:srgbClr val="6E747A">
                  <a:alpha val="43000"/>
                </a:srgbClr>
              </a:outerShdw>
            </a:effectLst>
          </a:endParaRPr>
        </a:p>
      </xdr:txBody>
    </xdr:sp>
    <xdr:clientData/>
  </xdr:twoCellAnchor>
  <xdr:twoCellAnchor>
    <xdr:from>
      <xdr:col>18</xdr:col>
      <xdr:colOff>25400</xdr:colOff>
      <xdr:row>5</xdr:row>
      <xdr:rowOff>152400</xdr:rowOff>
    </xdr:from>
    <xdr:to>
      <xdr:col>18</xdr:col>
      <xdr:colOff>673100</xdr:colOff>
      <xdr:row>7</xdr:row>
      <xdr:rowOff>50800</xdr:rowOff>
    </xdr:to>
    <xdr:sp macro="" textlink="analysing!Q24">
      <xdr:nvSpPr>
        <xdr:cNvPr id="31" name="TextBox 30">
          <a:extLst>
            <a:ext uri="{FF2B5EF4-FFF2-40B4-BE49-F238E27FC236}">
              <a16:creationId xmlns:a16="http://schemas.microsoft.com/office/drawing/2014/main" id="{05360BA0-7A17-9512-67CE-84E29658CDC9}"/>
            </a:ext>
          </a:extLst>
        </xdr:cNvPr>
        <xdr:cNvSpPr txBox="1"/>
      </xdr:nvSpPr>
      <xdr:spPr>
        <a:xfrm>
          <a:off x="14884400" y="1104900"/>
          <a:ext cx="647700" cy="2794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CBDB36-A937-A34B-A754-EDA7DDC89977}" type="TxLink">
            <a:rPr lang="en-US" sz="1800" b="1" i="0" u="none" strike="noStrike" cap="none" spc="0">
              <a:ln w="10160">
                <a:solidFill>
                  <a:srgbClr val="8C2523"/>
                </a:solidFill>
                <a:prstDash val="solid"/>
              </a:ln>
              <a:solidFill>
                <a:srgbClr val="FFFFFF"/>
              </a:solidFill>
              <a:effectLst>
                <a:outerShdw blurRad="38100" dist="22860" dir="5400000" algn="tl" rotWithShape="0">
                  <a:srgbClr val="000000">
                    <a:alpha val="30000"/>
                  </a:srgbClr>
                </a:outerShdw>
              </a:effectLst>
              <a:latin typeface="Calibri"/>
              <a:cs typeface="Calibri"/>
            </a:rPr>
            <a:pPr/>
            <a:t>509</a:t>
          </a:fld>
          <a:endParaRPr lang="en-GB" sz="1800" b="0" cap="none" spc="0">
            <a:ln w="10160">
              <a:solidFill>
                <a:srgbClr val="8C2523"/>
              </a:solidFill>
              <a:prstDash val="solid"/>
            </a:ln>
            <a:solidFill>
              <a:srgbClr val="611823"/>
            </a:solidFill>
            <a:effectLst>
              <a:outerShdw blurRad="38100" dist="25400" dir="5400000" algn="ctr" rotWithShape="0">
                <a:srgbClr val="6E747A">
                  <a:alpha val="43000"/>
                </a:srgbClr>
              </a:outerShdw>
            </a:effectLst>
          </a:endParaRPr>
        </a:p>
      </xdr:txBody>
    </xdr:sp>
    <xdr:clientData/>
  </xdr:twoCellAnchor>
  <xdr:twoCellAnchor editAs="oneCell">
    <xdr:from>
      <xdr:col>7</xdr:col>
      <xdr:colOff>279400</xdr:colOff>
      <xdr:row>4</xdr:row>
      <xdr:rowOff>76200</xdr:rowOff>
    </xdr:from>
    <xdr:to>
      <xdr:col>8</xdr:col>
      <xdr:colOff>622300</xdr:colOff>
      <xdr:row>7</xdr:row>
      <xdr:rowOff>0</xdr:rowOff>
    </xdr:to>
    <xdr:pic>
      <xdr:nvPicPr>
        <xdr:cNvPr id="46" name="Picture 45">
          <a:extLst>
            <a:ext uri="{FF2B5EF4-FFF2-40B4-BE49-F238E27FC236}">
              <a16:creationId xmlns:a16="http://schemas.microsoft.com/office/drawing/2014/main" id="{674E0A74-AFE1-1734-DD80-9FA4649925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57900" y="838200"/>
          <a:ext cx="1168400" cy="495300"/>
        </a:xfrm>
        <a:prstGeom prst="rect">
          <a:avLst/>
        </a:prstGeom>
        <a:effectLst>
          <a:glow rad="63500">
            <a:schemeClr val="accent2">
              <a:satMod val="175000"/>
              <a:alpha val="40000"/>
            </a:schemeClr>
          </a:glow>
        </a:effectLst>
      </xdr:spPr>
    </xdr:pic>
    <xdr:clientData/>
  </xdr:twoCellAnchor>
  <xdr:twoCellAnchor editAs="oneCell">
    <xdr:from>
      <xdr:col>12</xdr:col>
      <xdr:colOff>63500</xdr:colOff>
      <xdr:row>4</xdr:row>
      <xdr:rowOff>12700</xdr:rowOff>
    </xdr:from>
    <xdr:to>
      <xdr:col>13</xdr:col>
      <xdr:colOff>317500</xdr:colOff>
      <xdr:row>7</xdr:row>
      <xdr:rowOff>0</xdr:rowOff>
    </xdr:to>
    <xdr:pic>
      <xdr:nvPicPr>
        <xdr:cNvPr id="48" name="Picture 47">
          <a:extLst>
            <a:ext uri="{FF2B5EF4-FFF2-40B4-BE49-F238E27FC236}">
              <a16:creationId xmlns:a16="http://schemas.microsoft.com/office/drawing/2014/main" id="{C5DC4399-19C4-C899-95C7-E38228888DCB}"/>
            </a:ext>
          </a:extLst>
        </xdr:cNvPr>
        <xdr:cNvPicPr>
          <a:picLocks noChangeAspect="1"/>
        </xdr:cNvPicPr>
      </xdr:nvPicPr>
      <xdr:blipFill>
        <a:blip xmlns:r="http://schemas.openxmlformats.org/officeDocument/2006/relationships" r:embed="rId2" cstate="print">
          <a:alphaModFix amt="70000"/>
          <a:extLst>
            <a:ext uri="{BEBA8EAE-BF5A-486C-A8C5-ECC9F3942E4B}">
              <a14:imgProps xmlns:a14="http://schemas.microsoft.com/office/drawing/2010/main">
                <a14:imgLayer r:embed="rId3">
                  <a14:imgEffect>
                    <a14:backgroundRemoval t="9701" b="95522" l="9605" r="89831">
                      <a14:foregroundMark x1="70621" y1="15672" x2="7345" y2="42537"/>
                      <a14:foregroundMark x1="7345" y1="42537" x2="59887" y2="95522"/>
                      <a14:foregroundMark x1="59887" y1="95522" x2="67232" y2="22388"/>
                    </a14:backgroundRemoval>
                  </a14:imgEffect>
                </a14:imgLayer>
              </a14:imgProps>
            </a:ext>
            <a:ext uri="{28A0092B-C50C-407E-A947-70E740481C1C}">
              <a14:useLocalDpi xmlns:a14="http://schemas.microsoft.com/office/drawing/2010/main" val="0"/>
            </a:ext>
          </a:extLst>
        </a:blip>
        <a:stretch>
          <a:fillRect/>
        </a:stretch>
      </xdr:blipFill>
      <xdr:spPr>
        <a:xfrm>
          <a:off x="9969500" y="774700"/>
          <a:ext cx="1079500" cy="558800"/>
        </a:xfrm>
        <a:prstGeom prst="rect">
          <a:avLst/>
        </a:prstGeom>
        <a:effectLst>
          <a:outerShdw blurRad="50800" dist="38100" dir="2700000" algn="tl" rotWithShape="0">
            <a:prstClr val="black">
              <a:alpha val="40000"/>
            </a:prstClr>
          </a:outerShdw>
        </a:effectLst>
      </xdr:spPr>
    </xdr:pic>
    <xdr:clientData/>
  </xdr:twoCellAnchor>
  <xdr:twoCellAnchor editAs="oneCell">
    <xdr:from>
      <xdr:col>3</xdr:col>
      <xdr:colOff>139700</xdr:colOff>
      <xdr:row>4</xdr:row>
      <xdr:rowOff>38100</xdr:rowOff>
    </xdr:from>
    <xdr:to>
      <xdr:col>4</xdr:col>
      <xdr:colOff>127000</xdr:colOff>
      <xdr:row>7</xdr:row>
      <xdr:rowOff>25400</xdr:rowOff>
    </xdr:to>
    <xdr:pic>
      <xdr:nvPicPr>
        <xdr:cNvPr id="23" name="Picture 22">
          <a:extLst>
            <a:ext uri="{FF2B5EF4-FFF2-40B4-BE49-F238E27FC236}">
              <a16:creationId xmlns:a16="http://schemas.microsoft.com/office/drawing/2014/main" id="{661F8796-08E4-D0E2-7BC7-6D3AA05384D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5427" t="23188" r="38564" b="26087"/>
        <a:stretch/>
      </xdr:blipFill>
      <xdr:spPr>
        <a:xfrm>
          <a:off x="2616200" y="800100"/>
          <a:ext cx="812800" cy="558800"/>
        </a:xfrm>
        <a:prstGeom prst="rect">
          <a:avLst/>
        </a:prstGeom>
      </xdr:spPr>
    </xdr:pic>
    <xdr:clientData/>
  </xdr:twoCellAnchor>
  <xdr:twoCellAnchor editAs="oneCell">
    <xdr:from>
      <xdr:col>16</xdr:col>
      <xdr:colOff>482600</xdr:colOff>
      <xdr:row>4</xdr:row>
      <xdr:rowOff>88900</xdr:rowOff>
    </xdr:from>
    <xdr:to>
      <xdr:col>17</xdr:col>
      <xdr:colOff>469900</xdr:colOff>
      <xdr:row>7</xdr:row>
      <xdr:rowOff>38100</xdr:rowOff>
    </xdr:to>
    <xdr:pic>
      <xdr:nvPicPr>
        <xdr:cNvPr id="36" name="Picture 35">
          <a:extLst>
            <a:ext uri="{FF2B5EF4-FFF2-40B4-BE49-F238E27FC236}">
              <a16:creationId xmlns:a16="http://schemas.microsoft.com/office/drawing/2014/main" id="{BABAD567-9E7C-6D48-951A-354093054DB4}"/>
            </a:ext>
          </a:extLst>
        </xdr:cNvPr>
        <xdr:cNvPicPr>
          <a:picLocks noChangeAspect="1"/>
        </xdr:cNvPicPr>
      </xdr:nvPicPr>
      <xdr:blipFill>
        <a:blip xmlns:r="http://schemas.openxmlformats.org/officeDocument/2006/relationships" r:embed="rId5"/>
        <a:stretch>
          <a:fillRect/>
        </a:stretch>
      </xdr:blipFill>
      <xdr:spPr>
        <a:xfrm>
          <a:off x="13690600" y="850900"/>
          <a:ext cx="812800" cy="520700"/>
        </a:xfrm>
        <a:prstGeom prst="rect">
          <a:avLst/>
        </a:prstGeom>
      </xdr:spPr>
    </xdr:pic>
    <xdr:clientData/>
  </xdr:twoCellAnchor>
  <xdr:twoCellAnchor>
    <xdr:from>
      <xdr:col>7</xdr:col>
      <xdr:colOff>635000</xdr:colOff>
      <xdr:row>0</xdr:row>
      <xdr:rowOff>127000</xdr:rowOff>
    </xdr:from>
    <xdr:to>
      <xdr:col>14</xdr:col>
      <xdr:colOff>749300</xdr:colOff>
      <xdr:row>3</xdr:row>
      <xdr:rowOff>101600</xdr:rowOff>
    </xdr:to>
    <xdr:sp macro="" textlink="">
      <xdr:nvSpPr>
        <xdr:cNvPr id="9" name="TextBox 8">
          <a:extLst>
            <a:ext uri="{FF2B5EF4-FFF2-40B4-BE49-F238E27FC236}">
              <a16:creationId xmlns:a16="http://schemas.microsoft.com/office/drawing/2014/main" id="{2A2F6633-4739-86DE-F746-C8B268089981}"/>
            </a:ext>
          </a:extLst>
        </xdr:cNvPr>
        <xdr:cNvSpPr txBox="1"/>
      </xdr:nvSpPr>
      <xdr:spPr>
        <a:xfrm>
          <a:off x="6413500" y="127000"/>
          <a:ext cx="5892800" cy="5461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3200">
              <a:solidFill>
                <a:srgbClr val="C00000"/>
              </a:solidFill>
            </a:rPr>
            <a:t> </a:t>
          </a:r>
          <a:r>
            <a:rPr lang="en-GB" sz="3200">
              <a:solidFill>
                <a:srgbClr val="C00000"/>
              </a:solidFill>
              <a:effectLst>
                <a:glow rad="228600">
                  <a:schemeClr val="accent2">
                    <a:satMod val="175000"/>
                    <a:alpha val="40000"/>
                  </a:schemeClr>
                </a:glow>
              </a:effectLst>
            </a:rPr>
            <a:t>CRASH </a:t>
          </a:r>
          <a:r>
            <a:rPr lang="en-GB" sz="3200" baseline="0">
              <a:solidFill>
                <a:srgbClr val="C00000"/>
              </a:solidFill>
              <a:effectLst>
                <a:glow rad="228600">
                  <a:schemeClr val="accent2">
                    <a:satMod val="175000"/>
                    <a:alpha val="40000"/>
                  </a:schemeClr>
                </a:glow>
              </a:effectLst>
            </a:rPr>
            <a:t> </a:t>
          </a:r>
          <a:r>
            <a:rPr lang="en-GB" sz="3200">
              <a:solidFill>
                <a:srgbClr val="C00000"/>
              </a:solidFill>
              <a:effectLst>
                <a:glow rad="228600">
                  <a:schemeClr val="accent2">
                    <a:satMod val="175000"/>
                    <a:alpha val="40000"/>
                  </a:schemeClr>
                </a:glow>
              </a:effectLst>
            </a:rPr>
            <a:t>TREND           </a:t>
          </a:r>
          <a:r>
            <a:rPr lang="en-GB" sz="3200" baseline="0">
              <a:solidFill>
                <a:srgbClr val="C00000"/>
              </a:solidFill>
              <a:effectLst>
                <a:glow rad="228600">
                  <a:schemeClr val="accent2">
                    <a:satMod val="175000"/>
                    <a:alpha val="40000"/>
                  </a:schemeClr>
                </a:glow>
              </a:effectLst>
            </a:rPr>
            <a:t>    </a:t>
          </a:r>
          <a:r>
            <a:rPr lang="en-GB" sz="3200">
              <a:solidFill>
                <a:srgbClr val="C00000"/>
              </a:solidFill>
              <a:effectLst>
                <a:glow rad="228600">
                  <a:schemeClr val="accent2">
                    <a:satMod val="175000"/>
                    <a:alpha val="40000"/>
                  </a:schemeClr>
                </a:glow>
              </a:effectLst>
            </a:rPr>
            <a:t>EXPLORER</a:t>
          </a:r>
        </a:p>
        <a:p>
          <a:endParaRPr lang="en-GB" sz="1100"/>
        </a:p>
      </xdr:txBody>
    </xdr:sp>
    <xdr:clientData/>
  </xdr:twoCellAnchor>
  <xdr:twoCellAnchor editAs="oneCell">
    <xdr:from>
      <xdr:col>21</xdr:col>
      <xdr:colOff>56444</xdr:colOff>
      <xdr:row>4</xdr:row>
      <xdr:rowOff>50800</xdr:rowOff>
    </xdr:from>
    <xdr:to>
      <xdr:col>21</xdr:col>
      <xdr:colOff>785989</xdr:colOff>
      <xdr:row>7</xdr:row>
      <xdr:rowOff>0</xdr:rowOff>
    </xdr:to>
    <xdr:pic>
      <xdr:nvPicPr>
        <xdr:cNvPr id="29" name="Picture 28">
          <a:extLst>
            <a:ext uri="{FF2B5EF4-FFF2-40B4-BE49-F238E27FC236}">
              <a16:creationId xmlns:a16="http://schemas.microsoft.com/office/drawing/2014/main" id="{042906D8-71DB-45B2-A5AD-37BBD9E3B80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9697" t="13023" r="13940" b="31163"/>
        <a:stretch/>
      </xdr:blipFill>
      <xdr:spPr>
        <a:xfrm>
          <a:off x="17391944" y="812800"/>
          <a:ext cx="729545" cy="520700"/>
        </a:xfrm>
        <a:prstGeom prst="rect">
          <a:avLst/>
        </a:prstGeom>
      </xdr:spPr>
    </xdr:pic>
    <xdr:clientData/>
  </xdr:twoCellAnchor>
  <xdr:twoCellAnchor editAs="oneCell">
    <xdr:from>
      <xdr:col>11</xdr:col>
      <xdr:colOff>100091</xdr:colOff>
      <xdr:row>0</xdr:row>
      <xdr:rowOff>152400</xdr:rowOff>
    </xdr:from>
    <xdr:to>
      <xdr:col>12</xdr:col>
      <xdr:colOff>228601</xdr:colOff>
      <xdr:row>3</xdr:row>
      <xdr:rowOff>114300</xdr:rowOff>
    </xdr:to>
    <xdr:pic>
      <xdr:nvPicPr>
        <xdr:cNvPr id="33" name="Picture 32">
          <a:extLst>
            <a:ext uri="{FF2B5EF4-FFF2-40B4-BE49-F238E27FC236}">
              <a16:creationId xmlns:a16="http://schemas.microsoft.com/office/drawing/2014/main" id="{9F04FF57-B3E5-F0DB-1C70-630BD1CE680F}"/>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imgEffect>
                </a14:imgLayer>
              </a14:imgProps>
            </a:ext>
            <a:ext uri="{28A0092B-C50C-407E-A947-70E740481C1C}">
              <a14:useLocalDpi xmlns:a14="http://schemas.microsoft.com/office/drawing/2010/main" val="0"/>
            </a:ext>
          </a:extLst>
        </a:blip>
        <a:srcRect l="15849" t="16221" r="16831" b="42847"/>
        <a:stretch/>
      </xdr:blipFill>
      <xdr:spPr>
        <a:xfrm>
          <a:off x="9180591" y="152400"/>
          <a:ext cx="954010" cy="533400"/>
        </a:xfrm>
        <a:prstGeom prst="rect">
          <a:avLst/>
        </a:prstGeom>
      </xdr:spPr>
    </xdr:pic>
    <xdr:clientData/>
  </xdr:twoCellAnchor>
  <xdr:twoCellAnchor>
    <xdr:from>
      <xdr:col>0</xdr:col>
      <xdr:colOff>152400</xdr:colOff>
      <xdr:row>8</xdr:row>
      <xdr:rowOff>0</xdr:rowOff>
    </xdr:from>
    <xdr:to>
      <xdr:col>7</xdr:col>
      <xdr:colOff>266700</xdr:colOff>
      <xdr:row>22</xdr:row>
      <xdr:rowOff>63500</xdr:rowOff>
    </xdr:to>
    <xdr:graphicFrame macro="">
      <xdr:nvGraphicFramePr>
        <xdr:cNvPr id="34" name="Chart 33">
          <a:extLst>
            <a:ext uri="{FF2B5EF4-FFF2-40B4-BE49-F238E27FC236}">
              <a16:creationId xmlns:a16="http://schemas.microsoft.com/office/drawing/2014/main" id="{11D8249A-C6A6-C040-A4FC-242CF70ED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342900</xdr:colOff>
      <xdr:row>9</xdr:row>
      <xdr:rowOff>165100</xdr:rowOff>
    </xdr:from>
    <xdr:to>
      <xdr:col>21</xdr:col>
      <xdr:colOff>812800</xdr:colOff>
      <xdr:row>22</xdr:row>
      <xdr:rowOff>12700</xdr:rowOff>
    </xdr:to>
    <xdr:graphicFrame macro="">
      <xdr:nvGraphicFramePr>
        <xdr:cNvPr id="39" name="Chart 38">
          <a:extLst>
            <a:ext uri="{FF2B5EF4-FFF2-40B4-BE49-F238E27FC236}">
              <a16:creationId xmlns:a16="http://schemas.microsoft.com/office/drawing/2014/main" id="{BA4B335B-1FEB-1D41-9323-9A3A191DA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152400</xdr:colOff>
      <xdr:row>23</xdr:row>
      <xdr:rowOff>63500</xdr:rowOff>
    </xdr:from>
    <xdr:to>
      <xdr:col>5</xdr:col>
      <xdr:colOff>457200</xdr:colOff>
      <xdr:row>43</xdr:row>
      <xdr:rowOff>50800</xdr:rowOff>
    </xdr:to>
    <xdr:graphicFrame macro="">
      <xdr:nvGraphicFramePr>
        <xdr:cNvPr id="40" name="Chart 39">
          <a:extLst>
            <a:ext uri="{FF2B5EF4-FFF2-40B4-BE49-F238E27FC236}">
              <a16:creationId xmlns:a16="http://schemas.microsoft.com/office/drawing/2014/main" id="{C2264249-9E33-584A-9A63-6EC7845AD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431800</xdr:colOff>
      <xdr:row>8</xdr:row>
      <xdr:rowOff>12700</xdr:rowOff>
    </xdr:from>
    <xdr:to>
      <xdr:col>15</xdr:col>
      <xdr:colOff>139700</xdr:colOff>
      <xdr:row>22</xdr:row>
      <xdr:rowOff>63500</xdr:rowOff>
    </xdr:to>
    <xdr:graphicFrame macro="">
      <xdr:nvGraphicFramePr>
        <xdr:cNvPr id="42" name="Chart 41">
          <a:extLst>
            <a:ext uri="{FF2B5EF4-FFF2-40B4-BE49-F238E27FC236}">
              <a16:creationId xmlns:a16="http://schemas.microsoft.com/office/drawing/2014/main" id="{887D251E-1AB6-B848-9FC0-94DD093CD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50800</xdr:colOff>
      <xdr:row>23</xdr:row>
      <xdr:rowOff>50800</xdr:rowOff>
    </xdr:from>
    <xdr:to>
      <xdr:col>21</xdr:col>
      <xdr:colOff>808736</xdr:colOff>
      <xdr:row>43</xdr:row>
      <xdr:rowOff>88900</xdr:rowOff>
    </xdr:to>
    <xdr:graphicFrame macro="">
      <xdr:nvGraphicFramePr>
        <xdr:cNvPr id="43" name="Chart 42">
          <a:extLst>
            <a:ext uri="{FF2B5EF4-FFF2-40B4-BE49-F238E27FC236}">
              <a16:creationId xmlns:a16="http://schemas.microsoft.com/office/drawing/2014/main" id="{3BB329E1-54A0-A84F-A850-C84CA757B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698500</xdr:colOff>
      <xdr:row>23</xdr:row>
      <xdr:rowOff>63500</xdr:rowOff>
    </xdr:from>
    <xdr:to>
      <xdr:col>12</xdr:col>
      <xdr:colOff>508000</xdr:colOff>
      <xdr:row>43</xdr:row>
      <xdr:rowOff>76200</xdr:rowOff>
    </xdr:to>
    <xdr:graphicFrame macro="">
      <xdr:nvGraphicFramePr>
        <xdr:cNvPr id="44" name="Chart 43">
          <a:extLst>
            <a:ext uri="{FF2B5EF4-FFF2-40B4-BE49-F238E27FC236}">
              <a16:creationId xmlns:a16="http://schemas.microsoft.com/office/drawing/2014/main" id="{54B7EA13-E10B-7943-B750-944E74FB7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609600</xdr:colOff>
      <xdr:row>22</xdr:row>
      <xdr:rowOff>139700</xdr:rowOff>
    </xdr:from>
    <xdr:to>
      <xdr:col>16</xdr:col>
      <xdr:colOff>787400</xdr:colOff>
      <xdr:row>30</xdr:row>
      <xdr:rowOff>63500</xdr:rowOff>
    </xdr:to>
    <xdr:sp macro="" textlink="">
      <xdr:nvSpPr>
        <xdr:cNvPr id="45" name="Rectangle 44">
          <a:extLst>
            <a:ext uri="{FF2B5EF4-FFF2-40B4-BE49-F238E27FC236}">
              <a16:creationId xmlns:a16="http://schemas.microsoft.com/office/drawing/2014/main" id="{DB278FEF-58F9-6F41-8240-0889E622FEB8}"/>
            </a:ext>
          </a:extLst>
        </xdr:cNvPr>
        <xdr:cNvSpPr/>
      </xdr:nvSpPr>
      <xdr:spPr>
        <a:xfrm>
          <a:off x="10515600" y="4330700"/>
          <a:ext cx="3479800" cy="1447800"/>
        </a:xfrm>
        <a:prstGeom prst="rect">
          <a:avLst/>
        </a:prstGeom>
        <a:solidFill>
          <a:schemeClr val="tx1"/>
        </a:solidFill>
        <a:ln w="76200">
          <a:solidFill>
            <a:srgbClr val="8C25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12</xdr:col>
      <xdr:colOff>673100</xdr:colOff>
      <xdr:row>23</xdr:row>
      <xdr:rowOff>38100</xdr:rowOff>
    </xdr:from>
    <xdr:to>
      <xdr:col>16</xdr:col>
      <xdr:colOff>685800</xdr:colOff>
      <xdr:row>29</xdr:row>
      <xdr:rowOff>175260</xdr:rowOff>
    </xdr:to>
    <mc:AlternateContent xmlns:mc="http://schemas.openxmlformats.org/markup-compatibility/2006" xmlns:a14="http://schemas.microsoft.com/office/drawing/2010/main">
      <mc:Choice Requires="a14">
        <xdr:graphicFrame macro="">
          <xdr:nvGraphicFramePr>
            <xdr:cNvPr id="32" name="district2 1">
              <a:extLst>
                <a:ext uri="{FF2B5EF4-FFF2-40B4-BE49-F238E27FC236}">
                  <a16:creationId xmlns:a16="http://schemas.microsoft.com/office/drawing/2014/main" id="{BF2388BB-7CE0-4842-9BBD-750F65AE9F48}"/>
                </a:ext>
              </a:extLst>
            </xdr:cNvPr>
            <xdr:cNvGraphicFramePr/>
          </xdr:nvGraphicFramePr>
          <xdr:xfrm>
            <a:off x="0" y="0"/>
            <a:ext cx="0" cy="0"/>
          </xdr:xfrm>
          <a:graphic>
            <a:graphicData uri="http://schemas.microsoft.com/office/drawing/2010/slicer">
              <sle:slicer xmlns:sle="http://schemas.microsoft.com/office/drawing/2010/slicer" name="district2 1"/>
            </a:graphicData>
          </a:graphic>
        </xdr:graphicFrame>
      </mc:Choice>
      <mc:Fallback xmlns="">
        <xdr:sp macro="" textlink="">
          <xdr:nvSpPr>
            <xdr:cNvPr id="0" name=""/>
            <xdr:cNvSpPr>
              <a:spLocks noTextEdit="1"/>
            </xdr:cNvSpPr>
          </xdr:nvSpPr>
          <xdr:spPr>
            <a:xfrm>
              <a:off x="10579100" y="4419600"/>
              <a:ext cx="3314700" cy="12801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711200</xdr:colOff>
      <xdr:row>30</xdr:row>
      <xdr:rowOff>152400</xdr:rowOff>
    </xdr:from>
    <xdr:to>
      <xdr:col>16</xdr:col>
      <xdr:colOff>673100</xdr:colOff>
      <xdr:row>43</xdr:row>
      <xdr:rowOff>50800</xdr:rowOff>
    </xdr:to>
    <xdr:graphicFrame macro="">
      <xdr:nvGraphicFramePr>
        <xdr:cNvPr id="4" name="Chart 3">
          <a:extLst>
            <a:ext uri="{FF2B5EF4-FFF2-40B4-BE49-F238E27FC236}">
              <a16:creationId xmlns:a16="http://schemas.microsoft.com/office/drawing/2014/main" id="{52588DDB-C0B9-9C43-B9CB-984B0159F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546100</xdr:colOff>
      <xdr:row>7</xdr:row>
      <xdr:rowOff>177800</xdr:rowOff>
    </xdr:from>
    <xdr:to>
      <xdr:col>21</xdr:col>
      <xdr:colOff>533400</xdr:colOff>
      <xdr:row>9</xdr:row>
      <xdr:rowOff>165100</xdr:rowOff>
    </xdr:to>
    <xdr:sp macro="" textlink="">
      <xdr:nvSpPr>
        <xdr:cNvPr id="25" name="TextBox 24">
          <a:extLst>
            <a:ext uri="{FF2B5EF4-FFF2-40B4-BE49-F238E27FC236}">
              <a16:creationId xmlns:a16="http://schemas.microsoft.com/office/drawing/2014/main" id="{7150090F-EEF4-750F-CD34-94C012A7AB01}"/>
            </a:ext>
          </a:extLst>
        </xdr:cNvPr>
        <xdr:cNvSpPr txBox="1"/>
      </xdr:nvSpPr>
      <xdr:spPr>
        <a:xfrm>
          <a:off x="12928600" y="1511300"/>
          <a:ext cx="4940300" cy="3683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cap="none" spc="0">
              <a:ln w="10160">
                <a:solidFill>
                  <a:srgbClr val="912523"/>
                </a:solidFill>
                <a:prstDash val="solid"/>
              </a:ln>
              <a:solidFill>
                <a:srgbClr val="FFFFFF"/>
              </a:solidFill>
              <a:effectLst>
                <a:outerShdw blurRad="38100" dist="22860" dir="5400000" algn="tl" rotWithShape="0">
                  <a:srgbClr val="000000">
                    <a:alpha val="30000"/>
                  </a:srgbClr>
                </a:outerShdw>
              </a:effectLst>
            </a:rPr>
            <a:t>Number of acccident per vehicle and injuries</a:t>
          </a:r>
        </a:p>
      </xdr:txBody>
    </xdr:sp>
    <xdr:clientData/>
  </xdr:twoCellAnchor>
  <xdr:twoCellAnchor>
    <xdr:from>
      <xdr:col>0</xdr:col>
      <xdr:colOff>114300</xdr:colOff>
      <xdr:row>4</xdr:row>
      <xdr:rowOff>38100</xdr:rowOff>
    </xdr:from>
    <xdr:to>
      <xdr:col>3</xdr:col>
      <xdr:colOff>12700</xdr:colOff>
      <xdr:row>5</xdr:row>
      <xdr:rowOff>152400</xdr:rowOff>
    </xdr:to>
    <xdr:sp macro="" textlink="analysing!M33">
      <xdr:nvSpPr>
        <xdr:cNvPr id="37" name="TextBox 36">
          <a:extLst>
            <a:ext uri="{FF2B5EF4-FFF2-40B4-BE49-F238E27FC236}">
              <a16:creationId xmlns:a16="http://schemas.microsoft.com/office/drawing/2014/main" id="{6814ABA8-4127-8E18-CD0D-A6BD88FD91D8}"/>
            </a:ext>
          </a:extLst>
        </xdr:cNvPr>
        <xdr:cNvSpPr txBox="1"/>
      </xdr:nvSpPr>
      <xdr:spPr>
        <a:xfrm>
          <a:off x="114300" y="800100"/>
          <a:ext cx="2374900" cy="3048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fld id="{BCD4F5DF-AC5B-574E-AAA8-CB0E63E08177}" type="TxLink">
            <a:rPr lang="en-US" sz="1800" b="1" i="0" u="none" strike="noStrike" cap="none" spc="0">
              <a:ln>
                <a:solidFill>
                  <a:schemeClr val="accent2">
                    <a:lumMod val="75000"/>
                  </a:schemeClr>
                </a:solidFill>
              </a:ln>
              <a:solidFill>
                <a:schemeClr val="accent4"/>
              </a:solidFill>
              <a:effectLst/>
              <a:latin typeface="Calibri"/>
              <a:cs typeface="Calibri"/>
            </a:rPr>
            <a:pPr/>
            <a:t>Count of Accident_ID</a:t>
          </a:fld>
          <a:endParaRPr lang="en-US" sz="1800" b="1" cap="none" spc="0">
            <a:ln>
              <a:solidFill>
                <a:schemeClr val="accent2">
                  <a:lumMod val="75000"/>
                </a:schemeClr>
              </a:solidFill>
            </a:ln>
            <a:solidFill>
              <a:schemeClr val="accent4"/>
            </a:solidFill>
            <a:effectLst/>
          </a:endParaRPr>
        </a:p>
      </xdr:txBody>
    </xdr:sp>
    <xdr:clientData/>
  </xdr:twoCellAnchor>
  <xdr:twoCellAnchor>
    <xdr:from>
      <xdr:col>0</xdr:col>
      <xdr:colOff>533400</xdr:colOff>
      <xdr:row>5</xdr:row>
      <xdr:rowOff>139700</xdr:rowOff>
    </xdr:from>
    <xdr:to>
      <xdr:col>1</xdr:col>
      <xdr:colOff>381000</xdr:colOff>
      <xdr:row>7</xdr:row>
      <xdr:rowOff>25400</xdr:rowOff>
    </xdr:to>
    <xdr:sp macro="" textlink="analysing!M34">
      <xdr:nvSpPr>
        <xdr:cNvPr id="2" name="TextBox 1">
          <a:extLst>
            <a:ext uri="{FF2B5EF4-FFF2-40B4-BE49-F238E27FC236}">
              <a16:creationId xmlns:a16="http://schemas.microsoft.com/office/drawing/2014/main" id="{7D03847B-B2EB-167B-FA98-3E403691E4CA}"/>
            </a:ext>
          </a:extLst>
        </xdr:cNvPr>
        <xdr:cNvSpPr txBox="1"/>
      </xdr:nvSpPr>
      <xdr:spPr>
        <a:xfrm>
          <a:off x="533400" y="1092200"/>
          <a:ext cx="673100" cy="2667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7D0A75-8D7C-3E47-A0FB-7CF23C6AC773}" type="TxLink">
            <a:rPr lang="en-US" sz="1800" b="1" i="0" u="none" strike="noStrike" cap="none" spc="0">
              <a:ln w="10160">
                <a:solidFill>
                  <a:srgbClr val="8C2523"/>
                </a:solidFill>
                <a:prstDash val="solid"/>
              </a:ln>
              <a:solidFill>
                <a:srgbClr val="FFFFFF"/>
              </a:solidFill>
              <a:effectLst>
                <a:outerShdw blurRad="38100" dist="22860" dir="5400000" algn="tl" rotWithShape="0">
                  <a:srgbClr val="000000">
                    <a:alpha val="30000"/>
                  </a:srgbClr>
                </a:outerShdw>
              </a:effectLst>
              <a:latin typeface="Calibri"/>
              <a:cs typeface="Calibri"/>
            </a:rPr>
            <a:pPr/>
            <a:t>400</a:t>
          </a:fld>
          <a:endParaRPr lang="en-GB" sz="1800">
            <a:ln w="10160">
              <a:solidFill>
                <a:srgbClr val="8C2523"/>
              </a:solidFill>
              <a:prstDash val="solid"/>
            </a:ln>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7.826494444445" createdVersion="8" refreshedVersion="8" minRefreshableVersion="3" recordCount="400" xr:uid="{0A9A0402-E9D3-7A4A-97DA-16AFCCC0EB6D}">
  <cacheSource type="worksheet">
    <worksheetSource name="Table1"/>
  </cacheSource>
  <cacheFields count="18">
    <cacheField name="Year" numFmtId="0">
      <sharedItems containsSemiMixedTypes="0" containsString="0" containsNumber="1" containsInteger="1" minValue="2022" maxValue="2026" count="5">
        <n v="2022"/>
        <n v="2024"/>
        <n v="2025"/>
        <n v="2026"/>
        <n v="2023"/>
      </sharedItems>
    </cacheField>
    <cacheField name="City" numFmtId="0">
      <sharedItems count="30">
        <s v="City3"/>
        <s v="City30"/>
        <s v="City8"/>
        <s v="City12"/>
        <s v="City17"/>
        <s v="City7"/>
        <s v="City21"/>
        <s v="City1"/>
        <s v="City29"/>
        <s v="City5"/>
        <s v="City20"/>
        <s v="City28"/>
        <s v="City24"/>
        <s v="City10"/>
        <s v="City22"/>
        <s v="City25"/>
        <s v="City23"/>
        <s v="City11"/>
        <s v="City27"/>
        <s v="City13"/>
        <s v="City14"/>
        <s v="City4"/>
        <s v="City16"/>
        <s v="City26"/>
        <s v="City15"/>
        <s v="City9"/>
        <s v="City2"/>
        <s v="City18"/>
        <s v="City19"/>
        <s v="City6"/>
      </sharedItems>
    </cacheField>
    <cacheField name="Area_Type" numFmtId="0">
      <sharedItems count="2">
        <s v="Rural"/>
        <s v="Urban"/>
      </sharedItems>
    </cacheField>
    <cacheField name="Accident_ID" numFmtId="0">
      <sharedItems count="400">
        <s v="ACC0001"/>
        <s v="ACC0002"/>
        <s v="ACC0003"/>
        <s v="ACC0004"/>
        <s v="ACC0005"/>
        <s v="ACC0006"/>
        <s v="ACC0007"/>
        <s v="ACC0008"/>
        <s v="ACC0009"/>
        <s v="ACC0010"/>
        <s v="ACC0011"/>
        <s v="ACC0012"/>
        <s v="ACC0013"/>
        <s v="ACC0014"/>
        <s v="ACC0015"/>
        <s v="ACC0016"/>
        <s v="ACC0017"/>
        <s v="ACC0018"/>
        <s v="ACC0019"/>
        <s v="ACC0020"/>
        <s v="ACC0021"/>
        <s v="ACC0022"/>
        <s v="ACC0023"/>
        <s v="ACC0024"/>
        <s v="ACC0025"/>
        <s v="ACC0026"/>
        <s v="ACC0027"/>
        <s v="ACC0028"/>
        <s v="ACC0029"/>
        <s v="ACC0030"/>
        <s v="ACC0031"/>
        <s v="ACC0032"/>
        <s v="ACC0033"/>
        <s v="ACC0034"/>
        <s v="ACC0035"/>
        <s v="ACC0036"/>
        <s v="ACC0037"/>
        <s v="ACC0038"/>
        <s v="ACC0039"/>
        <s v="ACC0040"/>
        <s v="ACC0041"/>
        <s v="ACC0042"/>
        <s v="ACC0043"/>
        <s v="ACC0044"/>
        <s v="ACC0045"/>
        <s v="ACC0046"/>
        <s v="ACC0047"/>
        <s v="ACC0048"/>
        <s v="ACC0049"/>
        <s v="ACC0050"/>
        <s v="ACC0051"/>
        <s v="ACC0052"/>
        <s v="ACC0053"/>
        <s v="ACC0054"/>
        <s v="ACC0055"/>
        <s v="ACC0056"/>
        <s v="ACC0057"/>
        <s v="ACC0058"/>
        <s v="ACC0059"/>
        <s v="ACC0060"/>
        <s v="ACC0061"/>
        <s v="ACC0062"/>
        <s v="ACC0063"/>
        <s v="ACC0064"/>
        <s v="ACC0065"/>
        <s v="ACC0066"/>
        <s v="ACC0067"/>
        <s v="ACC0068"/>
        <s v="ACC0069"/>
        <s v="ACC0070"/>
        <s v="ACC0071"/>
        <s v="ACC0072"/>
        <s v="ACC0073"/>
        <s v="ACC0074"/>
        <s v="ACC0075"/>
        <s v="ACC0076"/>
        <s v="ACC0077"/>
        <s v="ACC0078"/>
        <s v="ACC0079"/>
        <s v="ACC0080"/>
        <s v="ACC0081"/>
        <s v="ACC0082"/>
        <s v="ACC0083"/>
        <s v="ACC0084"/>
        <s v="ACC0085"/>
        <s v="ACC0086"/>
        <s v="ACC0087"/>
        <s v="ACC0088"/>
        <s v="ACC0089"/>
        <s v="ACC0090"/>
        <s v="ACC0091"/>
        <s v="ACC0092"/>
        <s v="ACC0093"/>
        <s v="ACC0094"/>
        <s v="ACC0095"/>
        <s v="ACC0096"/>
        <s v="ACC0097"/>
        <s v="ACC0098"/>
        <s v="ACC0099"/>
        <s v="ACC0100"/>
        <s v="ACC0101"/>
        <s v="ACC0102"/>
        <s v="ACC0103"/>
        <s v="ACC0104"/>
        <s v="ACC0105"/>
        <s v="ACC0106"/>
        <s v="ACC0107"/>
        <s v="ACC0108"/>
        <s v="ACC0109"/>
        <s v="ACC0110"/>
        <s v="ACC0111"/>
        <s v="ACC0112"/>
        <s v="ACC0113"/>
        <s v="ACC0114"/>
        <s v="ACC0115"/>
        <s v="ACC0116"/>
        <s v="ACC0117"/>
        <s v="ACC0118"/>
        <s v="ACC0119"/>
        <s v="ACC0120"/>
        <s v="ACC0121"/>
        <s v="ACC0122"/>
        <s v="ACC0123"/>
        <s v="ACC0124"/>
        <s v="ACC0125"/>
        <s v="ACC0126"/>
        <s v="ACC0127"/>
        <s v="ACC0128"/>
        <s v="ACC0129"/>
        <s v="ACC0130"/>
        <s v="ACC0131"/>
        <s v="ACC0132"/>
        <s v="ACC0133"/>
        <s v="ACC0134"/>
        <s v="ACC0135"/>
        <s v="ACC0136"/>
        <s v="ACC0137"/>
        <s v="ACC0138"/>
        <s v="ACC0139"/>
        <s v="ACC0140"/>
        <s v="ACC0141"/>
        <s v="ACC0142"/>
        <s v="ACC0143"/>
        <s v="ACC0144"/>
        <s v="ACC0145"/>
        <s v="ACC0146"/>
        <s v="ACC0147"/>
        <s v="ACC0148"/>
        <s v="ACC0149"/>
        <s v="ACC0150"/>
        <s v="ACC0151"/>
        <s v="ACC0152"/>
        <s v="ACC0153"/>
        <s v="ACC0154"/>
        <s v="ACC0155"/>
        <s v="ACC0156"/>
        <s v="ACC0157"/>
        <s v="ACC0158"/>
        <s v="ACC0159"/>
        <s v="ACC0160"/>
        <s v="ACC0161"/>
        <s v="ACC0162"/>
        <s v="ACC0163"/>
        <s v="ACC0164"/>
        <s v="ACC0165"/>
        <s v="ACC0166"/>
        <s v="ACC0167"/>
        <s v="ACC0168"/>
        <s v="ACC0169"/>
        <s v="ACC0170"/>
        <s v="ACC0171"/>
        <s v="ACC0172"/>
        <s v="ACC0173"/>
        <s v="ACC0174"/>
        <s v="ACC0175"/>
        <s v="ACC0176"/>
        <s v="ACC0177"/>
        <s v="ACC0178"/>
        <s v="ACC0179"/>
        <s v="ACC0180"/>
        <s v="ACC0181"/>
        <s v="ACC0182"/>
        <s v="ACC0183"/>
        <s v="ACC0184"/>
        <s v="ACC0185"/>
        <s v="ACC0186"/>
        <s v="ACC0187"/>
        <s v="ACC0188"/>
        <s v="ACC0189"/>
        <s v="ACC0190"/>
        <s v="ACC0191"/>
        <s v="ACC0192"/>
        <s v="ACC0193"/>
        <s v="ACC0194"/>
        <s v="ACC0195"/>
        <s v="ACC0196"/>
        <s v="ACC0197"/>
        <s v="ACC0198"/>
        <s v="ACC0199"/>
        <s v="ACC0200"/>
        <s v="ACC0201"/>
        <s v="ACC0202"/>
        <s v="ACC0203"/>
        <s v="ACC0204"/>
        <s v="ACC0205"/>
        <s v="ACC0206"/>
        <s v="ACC0207"/>
        <s v="ACC0208"/>
        <s v="ACC0209"/>
        <s v="ACC0210"/>
        <s v="ACC0211"/>
        <s v="ACC0212"/>
        <s v="ACC0213"/>
        <s v="ACC0214"/>
        <s v="ACC0215"/>
        <s v="ACC0216"/>
        <s v="ACC0217"/>
        <s v="ACC0218"/>
        <s v="ACC0219"/>
        <s v="ACC0220"/>
        <s v="ACC0221"/>
        <s v="ACC0222"/>
        <s v="ACC0223"/>
        <s v="ACC0224"/>
        <s v="ACC0225"/>
        <s v="ACC0226"/>
        <s v="ACC0227"/>
        <s v="ACC0228"/>
        <s v="ACC0229"/>
        <s v="ACC0230"/>
        <s v="ACC0231"/>
        <s v="ACC0232"/>
        <s v="ACC0233"/>
        <s v="ACC0234"/>
        <s v="ACC0235"/>
        <s v="ACC0236"/>
        <s v="ACC0237"/>
        <s v="ACC0238"/>
        <s v="ACC0239"/>
        <s v="ACC0240"/>
        <s v="ACC0241"/>
        <s v="ACC0242"/>
        <s v="ACC0243"/>
        <s v="ACC0244"/>
        <s v="ACC0245"/>
        <s v="ACC0246"/>
        <s v="ACC0247"/>
        <s v="ACC0248"/>
        <s v="ACC0249"/>
        <s v="ACC0250"/>
        <s v="ACC0251"/>
        <s v="ACC0252"/>
        <s v="ACC0253"/>
        <s v="ACC0254"/>
        <s v="ACC0255"/>
        <s v="ACC0256"/>
        <s v="ACC0257"/>
        <s v="ACC0258"/>
        <s v="ACC0259"/>
        <s v="ACC0260"/>
        <s v="ACC0261"/>
        <s v="ACC0262"/>
        <s v="ACC0263"/>
        <s v="ACC0264"/>
        <s v="ACC0265"/>
        <s v="ACC0266"/>
        <s v="ACC0267"/>
        <s v="ACC0268"/>
        <s v="ACC0269"/>
        <s v="ACC0270"/>
        <s v="ACC0271"/>
        <s v="ACC0272"/>
        <s v="ACC0273"/>
        <s v="ACC0274"/>
        <s v="ACC0275"/>
        <s v="ACC0276"/>
        <s v="ACC0277"/>
        <s v="ACC0278"/>
        <s v="ACC0279"/>
        <s v="ACC0280"/>
        <s v="ACC0281"/>
        <s v="ACC0282"/>
        <s v="ACC0283"/>
        <s v="ACC0284"/>
        <s v="ACC0285"/>
        <s v="ACC0286"/>
        <s v="ACC0287"/>
        <s v="ACC0288"/>
        <s v="ACC0289"/>
        <s v="ACC0290"/>
        <s v="ACC0291"/>
        <s v="ACC0292"/>
        <s v="ACC0293"/>
        <s v="ACC0294"/>
        <s v="ACC0295"/>
        <s v="ACC0296"/>
        <s v="ACC0297"/>
        <s v="ACC0298"/>
        <s v="ACC0299"/>
        <s v="ACC0300"/>
        <s v="ACC0301"/>
        <s v="ACC0302"/>
        <s v="ACC0303"/>
        <s v="ACC0304"/>
        <s v="ACC0305"/>
        <s v="ACC0306"/>
        <s v="ACC0307"/>
        <s v="ACC0308"/>
        <s v="ACC0309"/>
        <s v="ACC0310"/>
        <s v="ACC0311"/>
        <s v="ACC0312"/>
        <s v="ACC0313"/>
        <s v="ACC0314"/>
        <s v="ACC0315"/>
        <s v="ACC0316"/>
        <s v="ACC0317"/>
        <s v="ACC0318"/>
        <s v="ACC0319"/>
        <s v="ACC0320"/>
        <s v="ACC0321"/>
        <s v="ACC0322"/>
        <s v="ACC0323"/>
        <s v="ACC0324"/>
        <s v="ACC0325"/>
        <s v="ACC0326"/>
        <s v="ACC0327"/>
        <s v="ACC0328"/>
        <s v="ACC0329"/>
        <s v="ACC0330"/>
        <s v="ACC0331"/>
        <s v="ACC0332"/>
        <s v="ACC0333"/>
        <s v="ACC0334"/>
        <s v="ACC0335"/>
        <s v="ACC0336"/>
        <s v="ACC0337"/>
        <s v="ACC0338"/>
        <s v="ACC0339"/>
        <s v="ACC0340"/>
        <s v="ACC0341"/>
        <s v="ACC0342"/>
        <s v="ACC0343"/>
        <s v="ACC0344"/>
        <s v="ACC0345"/>
        <s v="ACC0346"/>
        <s v="ACC0347"/>
        <s v="ACC0348"/>
        <s v="ACC0349"/>
        <s v="ACC0350"/>
        <s v="ACC0351"/>
        <s v="ACC0352"/>
        <s v="ACC0353"/>
        <s v="ACC0354"/>
        <s v="ACC0355"/>
        <s v="ACC0356"/>
        <s v="ACC0357"/>
        <s v="ACC0358"/>
        <s v="ACC0359"/>
        <s v="ACC0360"/>
        <s v="ACC0361"/>
        <s v="ACC0362"/>
        <s v="ACC0363"/>
        <s v="ACC0364"/>
        <s v="ACC0365"/>
        <s v="ACC0366"/>
        <s v="ACC0367"/>
        <s v="ACC0368"/>
        <s v="ACC0369"/>
        <s v="ACC0370"/>
        <s v="ACC0371"/>
        <s v="ACC0372"/>
        <s v="ACC0373"/>
        <s v="ACC0374"/>
        <s v="ACC0375"/>
        <s v="ACC0376"/>
        <s v="ACC0377"/>
        <s v="ACC0378"/>
        <s v="ACC0379"/>
        <s v="ACC0380"/>
        <s v="ACC0381"/>
        <s v="ACC0382"/>
        <s v="ACC0383"/>
        <s v="ACC0384"/>
        <s v="ACC0385"/>
        <s v="ACC0386"/>
        <s v="ACC0387"/>
        <s v="ACC0388"/>
        <s v="ACC0389"/>
        <s v="ACC0390"/>
        <s v="ACC0391"/>
        <s v="ACC0392"/>
        <s v="ACC0393"/>
        <s v="ACC0394"/>
        <s v="ACC0395"/>
        <s v="ACC0396"/>
        <s v="ACC0397"/>
        <s v="ACC0398"/>
        <s v="ACC0399"/>
        <s v="ACC0400"/>
      </sharedItems>
    </cacheField>
    <cacheField name="Date" numFmtId="14">
      <sharedItems containsSemiMixedTypes="0" containsNonDate="0" containsDate="1" containsString="0" minDate="2022-01-01T00:00:00" maxDate="2026-02-04T00:00:00" count="352">
        <d v="2022-12-08T00:00:00"/>
        <d v="2024-03-15T00:00:00"/>
        <d v="2024-02-29T00:00:00"/>
        <d v="2025-09-21T00:00:00"/>
        <d v="2025-12-15T00:00:00"/>
        <d v="2025-12-02T00:00:00"/>
        <d v="2022-12-25T00:00:00"/>
        <d v="2022-05-24T00:00:00"/>
        <d v="2025-03-06T00:00:00"/>
        <d v="2025-12-20T00:00:00"/>
        <d v="2026-01-16T00:00:00"/>
        <d v="2022-11-20T00:00:00"/>
        <d v="2025-01-03T00:00:00"/>
        <d v="2022-07-13T00:00:00"/>
        <d v="2024-03-10T00:00:00"/>
        <d v="2023-12-28T00:00:00"/>
        <d v="2022-08-04T00:00:00"/>
        <d v="2022-03-19T00:00:00"/>
        <d v="2025-03-16T00:00:00"/>
        <d v="2023-05-19T00:00:00"/>
        <d v="2023-03-05T00:00:00"/>
        <d v="2023-12-08T00:00:00"/>
        <d v="2023-12-18T00:00:00"/>
        <d v="2024-05-26T00:00:00"/>
        <d v="2023-05-26T00:00:00"/>
        <d v="2022-12-03T00:00:00"/>
        <d v="2022-06-22T00:00:00"/>
        <d v="2023-03-16T00:00:00"/>
        <d v="2023-08-23T00:00:00"/>
        <d v="2022-11-10T00:00:00"/>
        <d v="2022-05-15T00:00:00"/>
        <d v="2024-09-01T00:00:00"/>
        <d v="2022-09-19T00:00:00"/>
        <d v="2022-12-27T00:00:00"/>
        <d v="2022-03-31T00:00:00"/>
        <d v="2023-09-19T00:00:00"/>
        <d v="2023-10-16T00:00:00"/>
        <d v="2025-11-30T00:00:00"/>
        <d v="2022-12-28T00:00:00"/>
        <d v="2025-09-26T00:00:00"/>
        <d v="2025-12-29T00:00:00"/>
        <d v="2024-08-20T00:00:00"/>
        <d v="2023-01-24T00:00:00"/>
        <d v="2024-03-09T00:00:00"/>
        <d v="2023-12-12T00:00:00"/>
        <d v="2022-07-24T00:00:00"/>
        <d v="2023-08-20T00:00:00"/>
        <d v="2025-06-14T00:00:00"/>
        <d v="2024-06-05T00:00:00"/>
        <d v="2024-11-30T00:00:00"/>
        <d v="2024-09-25T00:00:00"/>
        <d v="2022-03-13T00:00:00"/>
        <d v="2025-11-14T00:00:00"/>
        <d v="2023-10-19T00:00:00"/>
        <d v="2022-04-19T00:00:00"/>
        <d v="2022-07-27T00:00:00"/>
        <d v="2022-09-18T00:00:00"/>
        <d v="2022-07-19T00:00:00"/>
        <d v="2022-07-18T00:00:00"/>
        <d v="2025-07-09T00:00:00"/>
        <d v="2024-03-21T00:00:00"/>
        <d v="2022-11-12T00:00:00"/>
        <d v="2024-07-03T00:00:00"/>
        <d v="2025-03-02T00:00:00"/>
        <d v="2024-03-31T00:00:00"/>
        <d v="2024-07-14T00:00:00"/>
        <d v="2025-01-24T00:00:00"/>
        <d v="2024-10-17T00:00:00"/>
        <d v="2024-05-20T00:00:00"/>
        <d v="2023-08-30T00:00:00"/>
        <d v="2024-06-13T00:00:00"/>
        <d v="2022-03-01T00:00:00"/>
        <d v="2024-03-19T00:00:00"/>
        <d v="2022-11-28T00:00:00"/>
        <d v="2022-05-11T00:00:00"/>
        <d v="2025-11-26T00:00:00"/>
        <d v="2025-10-01T00:00:00"/>
        <d v="2024-12-20T00:00:00"/>
        <d v="2024-08-24T00:00:00"/>
        <d v="2022-06-19T00:00:00"/>
        <d v="2022-02-12T00:00:00"/>
        <d v="2025-10-26T00:00:00"/>
        <d v="2025-07-12T00:00:00"/>
        <d v="2024-05-29T00:00:00"/>
        <d v="2024-06-12T00:00:00"/>
        <d v="2023-05-07T00:00:00"/>
        <d v="2024-01-22T00:00:00"/>
        <d v="2024-04-03T00:00:00"/>
        <d v="2024-10-03T00:00:00"/>
        <d v="2022-12-21T00:00:00"/>
        <d v="2024-02-05T00:00:00"/>
        <d v="2022-09-09T00:00:00"/>
        <d v="2023-02-10T00:00:00"/>
        <d v="2023-01-12T00:00:00"/>
        <d v="2024-10-25T00:00:00"/>
        <d v="2025-04-19T00:00:00"/>
        <d v="2024-05-28T00:00:00"/>
        <d v="2023-02-08T00:00:00"/>
        <d v="2025-12-27T00:00:00"/>
        <d v="2025-03-10T00:00:00"/>
        <d v="2022-10-18T00:00:00"/>
        <d v="2024-04-14T00:00:00"/>
        <d v="2025-07-24T00:00:00"/>
        <d v="2025-03-27T00:00:00"/>
        <d v="2024-07-27T00:00:00"/>
        <d v="2023-06-24T00:00:00"/>
        <d v="2022-08-19T00:00:00"/>
        <d v="2022-01-01T00:00:00"/>
        <d v="2024-06-28T00:00:00"/>
        <d v="2024-01-17T00:00:00"/>
        <d v="2022-03-04T00:00:00"/>
        <d v="2025-05-20T00:00:00"/>
        <d v="2023-12-15T00:00:00"/>
        <d v="2024-11-02T00:00:00"/>
        <d v="2026-01-02T00:00:00"/>
        <d v="2022-06-20T00:00:00"/>
        <d v="2023-11-27T00:00:00"/>
        <d v="2022-01-21T00:00:00"/>
        <d v="2022-10-23T00:00:00"/>
        <d v="2025-12-14T00:00:00"/>
        <d v="2025-11-11T00:00:00"/>
        <d v="2024-08-22T00:00:00"/>
        <d v="2024-07-04T00:00:00"/>
        <d v="2022-10-11T00:00:00"/>
        <d v="2024-09-24T00:00:00"/>
        <d v="2024-07-09T00:00:00"/>
        <d v="2022-09-27T00:00:00"/>
        <d v="2023-11-22T00:00:00"/>
        <d v="2022-04-13T00:00:00"/>
        <d v="2024-02-19T00:00:00"/>
        <d v="2025-11-04T00:00:00"/>
        <d v="2025-06-27T00:00:00"/>
        <d v="2023-06-28T00:00:00"/>
        <d v="2024-07-02T00:00:00"/>
        <d v="2025-11-18T00:00:00"/>
        <d v="2025-12-10T00:00:00"/>
        <d v="2023-01-20T00:00:00"/>
        <d v="2024-05-14T00:00:00"/>
        <d v="2024-04-04T00:00:00"/>
        <d v="2023-01-07T00:00:00"/>
        <d v="2022-09-07T00:00:00"/>
        <d v="2022-06-21T00:00:00"/>
        <d v="2023-04-04T00:00:00"/>
        <d v="2024-12-19T00:00:00"/>
        <d v="2023-11-19T00:00:00"/>
        <d v="2022-05-23T00:00:00"/>
        <d v="2022-09-03T00:00:00"/>
        <d v="2023-06-17T00:00:00"/>
        <d v="2024-06-30T00:00:00"/>
        <d v="2024-10-02T00:00:00"/>
        <d v="2022-04-07T00:00:00"/>
        <d v="2022-12-09T00:00:00"/>
        <d v="2022-05-18T00:00:00"/>
        <d v="2022-08-15T00:00:00"/>
        <d v="2023-07-11T00:00:00"/>
        <d v="2025-10-09T00:00:00"/>
        <d v="2024-11-01T00:00:00"/>
        <d v="2022-10-28T00:00:00"/>
        <d v="2023-06-19T00:00:00"/>
        <d v="2024-07-20T00:00:00"/>
        <d v="2023-10-25T00:00:00"/>
        <d v="2025-05-17T00:00:00"/>
        <d v="2022-12-12T00:00:00"/>
        <d v="2025-04-26T00:00:00"/>
        <d v="2023-09-11T00:00:00"/>
        <d v="2024-03-01T00:00:00"/>
        <d v="2024-09-06T00:00:00"/>
        <d v="2024-09-02T00:00:00"/>
        <d v="2024-03-24T00:00:00"/>
        <d v="2022-09-24T00:00:00"/>
        <d v="2024-10-16T00:00:00"/>
        <d v="2024-05-03T00:00:00"/>
        <d v="2025-01-22T00:00:00"/>
        <d v="2025-06-13T00:00:00"/>
        <d v="2022-05-16T00:00:00"/>
        <d v="2025-09-01T00:00:00"/>
        <d v="2022-03-16T00:00:00"/>
        <d v="2025-12-21T00:00:00"/>
        <d v="2025-07-30T00:00:00"/>
        <d v="2024-09-17T00:00:00"/>
        <d v="2024-03-26T00:00:00"/>
        <d v="2024-07-22T00:00:00"/>
        <d v="2023-02-24T00:00:00"/>
        <d v="2023-10-17T00:00:00"/>
        <d v="2025-11-03T00:00:00"/>
        <d v="2024-01-31T00:00:00"/>
        <d v="2023-10-04T00:00:00"/>
        <d v="2024-09-15T00:00:00"/>
        <d v="2025-04-03T00:00:00"/>
        <d v="2022-04-01T00:00:00"/>
        <d v="2025-05-11T00:00:00"/>
        <d v="2025-01-31T00:00:00"/>
        <d v="2025-08-19T00:00:00"/>
        <d v="2024-11-05T00:00:00"/>
        <d v="2023-08-16T00:00:00"/>
        <d v="2023-12-27T00:00:00"/>
        <d v="2024-12-06T00:00:00"/>
        <d v="2026-01-28T00:00:00"/>
        <d v="2023-05-18T00:00:00"/>
        <d v="2025-08-01T00:00:00"/>
        <d v="2025-04-06T00:00:00"/>
        <d v="2025-05-02T00:00:00"/>
        <d v="2023-04-12T00:00:00"/>
        <d v="2023-01-29T00:00:00"/>
        <d v="2025-10-06T00:00:00"/>
        <d v="2023-09-29T00:00:00"/>
        <d v="2023-10-18T00:00:00"/>
        <d v="2024-08-29T00:00:00"/>
        <d v="2026-01-20T00:00:00"/>
        <d v="2023-05-21T00:00:00"/>
        <d v="2022-01-08T00:00:00"/>
        <d v="2023-10-02T00:00:00"/>
        <d v="2025-05-15T00:00:00"/>
        <d v="2022-01-14T00:00:00"/>
        <d v="2022-10-12T00:00:00"/>
        <d v="2023-06-20T00:00:00"/>
        <d v="2022-10-01T00:00:00"/>
        <d v="2022-07-08T00:00:00"/>
        <d v="2022-12-15T00:00:00"/>
        <d v="2024-07-08T00:00:00"/>
        <d v="2022-10-26T00:00:00"/>
        <d v="2023-01-05T00:00:00"/>
        <d v="2025-02-10T00:00:00"/>
        <d v="2023-03-02T00:00:00"/>
        <d v="2025-06-19T00:00:00"/>
        <d v="2025-10-07T00:00:00"/>
        <d v="2023-12-25T00:00:00"/>
        <d v="2024-08-04T00:00:00"/>
        <d v="2022-02-03T00:00:00"/>
        <d v="2025-03-25T00:00:00"/>
        <d v="2024-12-10T00:00:00"/>
        <d v="2025-07-17T00:00:00"/>
        <d v="2024-09-16T00:00:00"/>
        <d v="2025-01-06T00:00:00"/>
        <d v="2025-04-23T00:00:00"/>
        <d v="2024-02-23T00:00:00"/>
        <d v="2025-08-06T00:00:00"/>
        <d v="2022-08-27T00:00:00"/>
        <d v="2022-01-11T00:00:00"/>
        <d v="2023-11-17T00:00:00"/>
        <d v="2023-10-28T00:00:00"/>
        <d v="2026-02-01T00:00:00"/>
        <d v="2022-05-06T00:00:00"/>
        <d v="2023-06-08T00:00:00"/>
        <d v="2025-10-18T00:00:00"/>
        <d v="2023-06-21T00:00:00"/>
        <d v="2023-01-03T00:00:00"/>
        <d v="2025-03-03T00:00:00"/>
        <d v="2024-05-12T00:00:00"/>
        <d v="2026-02-03T00:00:00"/>
        <d v="2024-06-09T00:00:00"/>
        <d v="2022-11-01T00:00:00"/>
        <d v="2025-03-22T00:00:00"/>
        <d v="2022-04-05T00:00:00"/>
        <d v="2022-02-14T00:00:00"/>
        <d v="2025-07-04T00:00:00"/>
        <d v="2024-10-15T00:00:00"/>
        <d v="2025-07-16T00:00:00"/>
        <d v="2024-09-30T00:00:00"/>
        <d v="2025-01-08T00:00:00"/>
        <d v="2024-12-28T00:00:00"/>
        <d v="2025-01-10T00:00:00"/>
        <d v="2025-09-24T00:00:00"/>
        <d v="2023-08-10T00:00:00"/>
        <d v="2022-10-17T00:00:00"/>
        <d v="2023-01-27T00:00:00"/>
        <d v="2025-09-28T00:00:00"/>
        <d v="2022-09-23T00:00:00"/>
        <d v="2023-07-04T00:00:00"/>
        <d v="2024-08-30T00:00:00"/>
        <d v="2024-09-23T00:00:00"/>
        <d v="2022-09-10T00:00:00"/>
        <d v="2022-04-25T00:00:00"/>
        <d v="2022-05-12T00:00:00"/>
        <d v="2023-04-24T00:00:00"/>
        <d v="2025-08-04T00:00:00"/>
        <d v="2023-04-27T00:00:00"/>
        <d v="2025-07-08T00:00:00"/>
        <d v="2022-05-13T00:00:00"/>
        <d v="2023-11-07T00:00:00"/>
        <d v="2022-02-19T00:00:00"/>
        <d v="2023-10-14T00:00:00"/>
        <d v="2025-04-17T00:00:00"/>
        <d v="2025-04-07T00:00:00"/>
        <d v="2023-05-02T00:00:00"/>
        <d v="2022-09-29T00:00:00"/>
        <d v="2022-11-26T00:00:00"/>
        <d v="2024-08-05T00:00:00"/>
        <d v="2025-02-17T00:00:00"/>
        <d v="2022-06-28T00:00:00"/>
        <d v="2025-05-21T00:00:00"/>
        <d v="2022-03-28T00:00:00"/>
        <d v="2023-11-16T00:00:00"/>
        <d v="2022-12-20T00:00:00"/>
        <d v="2026-01-23T00:00:00"/>
        <d v="2022-12-11T00:00:00"/>
        <d v="2024-07-16T00:00:00"/>
        <d v="2024-12-17T00:00:00"/>
        <d v="2024-08-01T00:00:00"/>
        <d v="2022-04-26T00:00:00"/>
        <d v="2022-06-18T00:00:00"/>
        <d v="2024-04-22T00:00:00"/>
        <d v="2023-04-06T00:00:00"/>
        <d v="2024-06-06T00:00:00"/>
        <d v="2023-11-30T00:00:00"/>
        <d v="2023-08-18T00:00:00"/>
        <d v="2024-12-03T00:00:00"/>
        <d v="2023-10-07T00:00:00"/>
        <d v="2025-02-12T00:00:00"/>
        <d v="2024-02-01T00:00:00"/>
        <d v="2024-10-01T00:00:00"/>
        <d v="2025-02-13T00:00:00"/>
        <d v="2022-10-19T00:00:00"/>
        <d v="2022-06-09T00:00:00"/>
        <d v="2023-05-04T00:00:00"/>
        <d v="2022-10-05T00:00:00"/>
        <d v="2024-12-29T00:00:00"/>
        <d v="2023-03-17T00:00:00"/>
        <d v="2024-09-10T00:00:00"/>
        <d v="2025-03-17T00:00:00"/>
        <d v="2023-06-27T00:00:00"/>
        <d v="2025-06-29T00:00:00"/>
        <d v="2025-12-11T00:00:00"/>
        <d v="2024-03-02T00:00:00"/>
        <d v="2023-04-10T00:00:00"/>
        <d v="2022-08-08T00:00:00"/>
        <d v="2022-01-12T00:00:00"/>
        <d v="2023-12-23T00:00:00"/>
        <d v="2024-05-18T00:00:00"/>
        <d v="2023-01-04T00:00:00"/>
        <d v="2024-11-07T00:00:00"/>
        <d v="2022-07-01T00:00:00"/>
        <d v="2025-08-26T00:00:00"/>
        <d v="2023-01-15T00:00:00"/>
        <d v="2022-08-21T00:00:00"/>
        <d v="2022-09-13T00:00:00"/>
        <d v="2024-04-06T00:00:00"/>
        <d v="2024-05-24T00:00:00"/>
        <d v="2026-01-07T00:00:00"/>
        <d v="2023-03-20T00:00:00"/>
        <d v="2025-08-11T00:00:00"/>
        <d v="2022-04-15T00:00:00"/>
        <d v="2023-04-05T00:00:00"/>
        <d v="2023-07-01T00:00:00"/>
        <d v="2024-10-14T00:00:00"/>
        <d v="2023-10-24T00:00:00"/>
        <d v="2023-10-11T00:00:00"/>
        <d v="2025-02-09T00:00:00"/>
        <d v="2022-03-25T00:00:00"/>
        <d v="2023-05-05T00:00:00"/>
        <d v="2024-07-24T00:00:00"/>
        <d v="2023-06-13T00:00:00"/>
      </sharedItems>
      <fieldGroup base="4">
        <rangePr groupBy="years" startDate="2022-01-01T00:00:00" endDate="2026-02-04T00:00:00"/>
        <groupItems count="7">
          <s v="&lt;01/01/22"/>
          <s v="2022"/>
          <s v="2023"/>
          <s v="2024"/>
          <s v="2025"/>
          <s v="2026"/>
          <s v="&gt;04/02/26"/>
        </groupItems>
      </fieldGroup>
    </cacheField>
    <cacheField name="Time" numFmtId="164">
      <sharedItems count="343">
        <s v="08:02"/>
        <s v="17:25"/>
        <s v="04:10"/>
        <s v="16:43"/>
        <s v="04:58"/>
        <s v="18:58"/>
        <s v="22:00"/>
        <s v="04:15"/>
        <s v="01:33"/>
        <s v="00:20"/>
        <s v="20:20"/>
        <s v="03:38"/>
        <s v="01:26"/>
        <s v="21:43"/>
        <s v="21:45"/>
        <s v="18:49"/>
        <s v="05:28"/>
        <s v="06:55"/>
        <s v="23:08"/>
        <s v="18:45"/>
        <s v="09:58"/>
        <s v="11:58"/>
        <s v="16:13"/>
        <s v="03:56"/>
        <s v="22:11"/>
        <s v="03:29"/>
        <s v="21:26"/>
        <s v="03:08"/>
        <s v="09:57"/>
        <s v="14:52"/>
        <s v="00:28"/>
        <s v="06:54"/>
        <s v="06:04"/>
        <s v="17:43"/>
        <s v="21:13"/>
        <s v="13:52"/>
        <s v="23:59"/>
        <s v="10:30"/>
        <s v="21:19"/>
        <s v="01:23"/>
        <s v="15:50"/>
        <s v="13:29"/>
        <s v="10:11"/>
        <s v="13:56"/>
        <s v="11:32"/>
        <s v="15:11"/>
        <s v="03:54"/>
        <s v="13:48"/>
        <s v="21:03"/>
        <s v="18:43"/>
        <s v="20:46"/>
        <s v="07:11"/>
        <s v="16:35"/>
        <s v="13:58"/>
        <s v="12:23"/>
        <s v="09:44"/>
        <s v="05:59"/>
        <s v="04:39"/>
        <s v="16:56"/>
        <s v="04:31"/>
        <s v="15:41"/>
        <s v="07:29"/>
        <s v="22:17"/>
        <s v="00:54"/>
        <s v="15:05"/>
        <s v="17:39"/>
        <s v="19:03"/>
        <s v="23:25"/>
        <s v="09:10"/>
        <s v="17:51"/>
        <s v="11:53"/>
        <s v="12:40"/>
        <s v="19:08"/>
        <s v="21:06"/>
        <s v="20:43"/>
        <s v="10:15"/>
        <s v="15:28"/>
        <s v="11:42"/>
        <s v="11:25"/>
        <s v="17:30"/>
        <s v="12:50"/>
        <s v="21:00"/>
        <s v="11:13"/>
        <s v="13:34"/>
        <s v="05:07"/>
        <s v="16:33"/>
        <s v="23:19"/>
        <s v="09:42"/>
        <s v="15:00"/>
        <s v="04:16"/>
        <s v="14:49"/>
        <s v="21:30"/>
        <s v="02:01"/>
        <s v="03:53"/>
        <s v="07:26"/>
        <s v="11:01"/>
        <s v="01:09"/>
        <s v="08:17"/>
        <s v="23:03"/>
        <s v="16:30"/>
        <s v="11:04"/>
        <s v="15:21"/>
        <s v="08:30"/>
        <s v="07:23"/>
        <s v="16:28"/>
        <s v="16:07"/>
        <s v="03:59"/>
        <s v="06:03"/>
        <s v="04:25"/>
        <s v="01:25"/>
        <s v="17:36"/>
        <s v="15:07"/>
        <s v="10:13"/>
        <s v="10:49"/>
        <s v="14:16"/>
        <s v="19:28"/>
        <s v="14:03"/>
        <s v="23:11"/>
        <s v="09:49"/>
        <s v="18:52"/>
        <s v="19:22"/>
        <s v="07:10"/>
        <s v="06:34"/>
        <s v="10:25"/>
        <s v="15:19"/>
        <s v="19:40"/>
        <s v="05:31"/>
        <s v="01:40"/>
        <s v="16:54"/>
        <s v="16:05"/>
        <s v="07:49"/>
        <s v="11:16"/>
        <s v="18:47"/>
        <s v="07:33"/>
        <s v="18:26"/>
        <s v="10:41"/>
        <s v="14:17"/>
        <s v="11:19"/>
        <s v="06:58"/>
        <s v="09:43"/>
        <s v="11:56"/>
        <s v="07:14"/>
        <s v="19:12"/>
        <s v="09:26"/>
        <s v="03:49"/>
        <s v="05:04"/>
        <s v="06:12"/>
        <s v="16:48"/>
        <s v="03:41"/>
        <s v="00:11"/>
        <s v="23:12"/>
        <s v="13:21"/>
        <s v="06:35"/>
        <s v="03:13"/>
        <s v="12:06"/>
        <s v="23:05"/>
        <s v="03:26"/>
        <s v="14:22"/>
        <s v="17:42"/>
        <s v="01:21"/>
        <s v="00:59"/>
        <s v="10:14"/>
        <s v="12:28"/>
        <s v="11:14"/>
        <s v="19:33"/>
        <s v="11:11"/>
        <s v="02:21"/>
        <s v="14:43"/>
        <s v="14:40"/>
        <s v="12:30"/>
        <s v="13:28"/>
        <s v="22:32"/>
        <s v="10:04"/>
        <s v="03:31"/>
        <s v="15:25"/>
        <s v="23:40"/>
        <s v="15:26"/>
        <s v="02:56"/>
        <s v="08:36"/>
        <s v="04:48"/>
        <s v="03:00"/>
        <s v="05:10"/>
        <s v="12:20"/>
        <s v="07:01"/>
        <s v="22:15"/>
        <s v="06:44"/>
        <s v="23:06"/>
        <s v="23:09"/>
        <s v="19:31"/>
        <s v="18:30"/>
        <s v="12:35"/>
        <s v="04:18"/>
        <s v="07:13"/>
        <s v="16:58"/>
        <s v="12:08"/>
        <s v="14:51"/>
        <s v="19:50"/>
        <s v="05:18"/>
        <s v="15:46"/>
        <s v="07:22"/>
        <s v="11:33"/>
        <s v="15:23"/>
        <s v="00:13"/>
        <s v="12:57"/>
        <s v="04:55"/>
        <s v="16:46"/>
        <s v="19:21"/>
        <s v="18:35"/>
        <s v="13:16"/>
        <s v="13:45"/>
        <s v="02:32"/>
        <s v="04:13"/>
        <s v="20:32"/>
        <s v="09:37"/>
        <s v="19:56"/>
        <s v="23:22"/>
        <s v="17:54"/>
        <s v="01:11"/>
        <s v="03:02"/>
        <s v="06:22"/>
        <s v="09:21"/>
        <s v="23:38"/>
        <s v="23:48"/>
        <s v="00:38"/>
        <s v="06:02"/>
        <s v="09:27"/>
        <s v="05:44"/>
        <s v="11:26"/>
        <s v="05:23"/>
        <s v="08:54"/>
        <s v="07:09"/>
        <s v="15:08"/>
        <s v="19:45"/>
        <s v="17:49"/>
        <s v="21:58"/>
        <s v="23:16"/>
        <s v="12:54"/>
        <s v="15:45"/>
        <s v="02:48"/>
        <s v="13:53"/>
        <s v="21:51"/>
        <s v="01:14"/>
        <s v="06:48"/>
        <s v="22:01"/>
        <s v="12:46"/>
        <s v="18:23"/>
        <s v="13:22"/>
        <s v="02:33"/>
        <s v="16:03"/>
        <s v="03:36"/>
        <s v="14:39"/>
        <s v="16:34"/>
        <s v="22:23"/>
        <s v="02:19"/>
        <s v="17:52"/>
        <s v="07:54"/>
        <s v="20:38"/>
        <s v="09:35"/>
        <s v="02:18"/>
        <s v="15:55"/>
        <s v="08:57"/>
        <s v="20:13"/>
        <s v="02:41"/>
        <s v="13:42"/>
        <s v="10:24"/>
        <s v="14:56"/>
        <s v="14:18"/>
        <s v="16:10"/>
        <s v="00:23"/>
        <s v="05:16"/>
        <s v="17:15"/>
        <s v="00:25"/>
        <s v="07:04"/>
        <s v="01:01"/>
        <s v="23:55"/>
        <s v="11:40"/>
        <s v="21:36"/>
        <s v="15:43"/>
        <s v="01:24"/>
        <s v="20:16"/>
        <s v="05:37"/>
        <s v="17:32"/>
        <s v="17:10"/>
        <s v="07:05"/>
        <s v="18:27"/>
        <s v="13:17"/>
        <s v="20:34"/>
        <s v="22:10"/>
        <s v="08:52"/>
        <s v="05:25"/>
        <s v="07:51"/>
        <s v="04:32"/>
        <s v="18:32"/>
        <s v="07:57"/>
        <s v="15:27"/>
        <s v="16:12"/>
        <s v="00:08"/>
        <s v="13:00"/>
        <s v="08:29"/>
        <s v="17:23"/>
        <s v="18:20"/>
        <s v="06:42"/>
        <s v="08:08"/>
        <s v="06:57"/>
        <s v="20:55"/>
        <s v="07:02"/>
        <s v="00:32"/>
        <s v="13:36"/>
        <s v="01:39"/>
        <s v="19:42"/>
        <s v="08:50"/>
        <s v="16:01"/>
        <s v="08:46"/>
        <s v="03:33"/>
        <s v="06:14"/>
        <s v="12:32"/>
        <s v="18:28"/>
        <s v="11:46"/>
        <s v="20:09"/>
        <s v="23:28"/>
        <s v="14:15"/>
        <s v="13:12"/>
        <s v="17:08"/>
        <s v="00:37"/>
        <s v="23:36"/>
        <s v="02:57"/>
        <s v="19:04"/>
        <s v="00:48"/>
        <s v="12:25"/>
        <s v="21:42"/>
        <s v="22:07"/>
        <s v="14:44"/>
        <s v="12:11"/>
        <s v="22:24"/>
        <s v="13:57"/>
        <s v="10:44"/>
        <s v="17:13"/>
        <s v="20:04"/>
        <s v="00:53"/>
        <s v="04:50"/>
        <s v="04:57"/>
        <s v="11:30"/>
        <s v="12:15"/>
      </sharedItems>
    </cacheField>
    <cacheField name="Vehicle_Type" numFmtId="0">
      <sharedItems count="5">
        <s v="Bike"/>
        <s v="Truck"/>
        <s v="Car"/>
        <s v="Bus"/>
        <s v="Auto"/>
      </sharedItems>
    </cacheField>
    <cacheField name="Cause2" numFmtId="0">
      <sharedItems count="4">
        <s v="Distraction"/>
        <s v="Drunk Driving"/>
        <s v="Over-speeding"/>
        <s v="Brake Failure"/>
      </sharedItems>
    </cacheField>
    <cacheField name="Weather" numFmtId="0">
      <sharedItems count="3">
        <s v="Clear"/>
        <s v="Rain"/>
        <s v="Fog"/>
      </sharedItems>
    </cacheField>
    <cacheField name="Road_Condition" numFmtId="0">
      <sharedItems count="2">
        <s v="Dry"/>
        <s v="Wet"/>
      </sharedItems>
    </cacheField>
    <cacheField name="Driver_Age" numFmtId="0">
      <sharedItems containsSemiMixedTypes="0" containsString="0" containsNumber="1" containsInteger="1" minValue="18" maxValue="65" count="48">
        <n v="19"/>
        <n v="46"/>
        <n v="35"/>
        <n v="25"/>
        <n v="60"/>
        <n v="52"/>
        <n v="32"/>
        <n v="21"/>
        <n v="37"/>
        <n v="59"/>
        <n v="65"/>
        <n v="50"/>
        <n v="18"/>
        <n v="33"/>
        <n v="28"/>
        <n v="53"/>
        <n v="24"/>
        <n v="38"/>
        <n v="49"/>
        <n v="61"/>
        <n v="34"/>
        <n v="45"/>
        <n v="41"/>
        <n v="44"/>
        <n v="43"/>
        <n v="39"/>
        <n v="20"/>
        <n v="48"/>
        <n v="40"/>
        <n v="26"/>
        <n v="64"/>
        <n v="63"/>
        <n v="31"/>
        <n v="55"/>
        <n v="29"/>
        <n v="47"/>
        <n v="62"/>
        <n v="54"/>
        <n v="51"/>
        <n v="57"/>
        <n v="27"/>
        <n v="58"/>
        <n v="42"/>
        <n v="36"/>
        <n v="22"/>
        <n v="23"/>
        <n v="56"/>
        <n v="30"/>
      </sharedItems>
      <fieldGroup base="10">
        <rangePr autoEnd="0" startNum="18" endNum="38" groupInterval="10"/>
        <groupItems count="4">
          <s v="&lt;18"/>
          <s v="18-27"/>
          <s v="28-38"/>
          <s v="&gt;38"/>
        </groupItems>
      </fieldGroup>
    </cacheField>
    <cacheField name="Speed_kmph" numFmtId="165">
      <sharedItems containsSemiMixedTypes="0" containsString="0" containsNumber="1" containsInteger="1" minValue="40" maxValue="120" count="80">
        <n v="103"/>
        <n v="116"/>
        <n v="56"/>
        <n v="43"/>
        <n v="66"/>
        <n v="79"/>
        <n v="99"/>
        <n v="68"/>
        <n v="72"/>
        <n v="42"/>
        <n v="74"/>
        <n v="70"/>
        <n v="54"/>
        <n v="77"/>
        <n v="110"/>
        <n v="102"/>
        <n v="89"/>
        <n v="119"/>
        <n v="92"/>
        <n v="115"/>
        <n v="104"/>
        <n v="111"/>
        <n v="49"/>
        <n v="94"/>
        <n v="114"/>
        <n v="76"/>
        <n v="58"/>
        <n v="65"/>
        <n v="44"/>
        <n v="48"/>
        <n v="100"/>
        <n v="47"/>
        <n v="40"/>
        <n v="57"/>
        <n v="45"/>
        <n v="51"/>
        <n v="67"/>
        <n v="71"/>
        <n v="112"/>
        <n v="80"/>
        <n v="84"/>
        <n v="86"/>
        <n v="93"/>
        <n v="87"/>
        <n v="106"/>
        <n v="82"/>
        <n v="109"/>
        <n v="91"/>
        <n v="108"/>
        <n v="90"/>
        <n v="118"/>
        <n v="59"/>
        <n v="50"/>
        <n v="113"/>
        <n v="88"/>
        <n v="107"/>
        <n v="55"/>
        <n v="95"/>
        <n v="75"/>
        <n v="73"/>
        <n v="83"/>
        <n v="69"/>
        <n v="60"/>
        <n v="62"/>
        <n v="61"/>
        <n v="53"/>
        <n v="101"/>
        <n v="97"/>
        <n v="64"/>
        <n v="117"/>
        <n v="46"/>
        <n v="63"/>
        <n v="98"/>
        <n v="81"/>
        <n v="78"/>
        <n v="120"/>
        <n v="52"/>
        <n v="96"/>
        <n v="85"/>
        <n v="41"/>
      </sharedItems>
    </cacheField>
    <cacheField name="Fatalities" numFmtId="0">
      <sharedItems containsSemiMixedTypes="0" containsString="0" containsNumber="1" containsInteger="1" minValue="0" maxValue="5" count="6">
        <n v="1"/>
        <n v="0"/>
        <n v="2"/>
        <n v="4"/>
        <n v="3"/>
        <n v="5"/>
      </sharedItems>
    </cacheField>
    <cacheField name="Injuries" numFmtId="0">
      <sharedItems containsSemiMixedTypes="0" containsString="0" containsNumber="1" containsInteger="1" minValue="0" maxValue="6" count="7">
        <n v="0"/>
        <n v="6"/>
        <n v="4"/>
        <n v="3"/>
        <n v="5"/>
        <n v="2"/>
        <n v="1"/>
      </sharedItems>
    </cacheField>
    <cacheField name="Response_Time_Minutes" numFmtId="0">
      <sharedItems containsSemiMixedTypes="0" containsString="0" containsNumber="1" containsInteger="1" minValue="8" maxValue="45" count="38">
        <n v="9"/>
        <n v="13"/>
        <n v="33"/>
        <n v="27"/>
        <n v="18"/>
        <n v="12"/>
        <n v="34"/>
        <n v="23"/>
        <n v="32"/>
        <n v="11"/>
        <n v="24"/>
        <n v="36"/>
        <n v="45"/>
        <n v="22"/>
        <n v="42"/>
        <n v="14"/>
        <n v="38"/>
        <n v="8"/>
        <n v="35"/>
        <n v="44"/>
        <n v="31"/>
        <n v="15"/>
        <n v="40"/>
        <n v="29"/>
        <n v="41"/>
        <n v="21"/>
        <n v="39"/>
        <n v="16"/>
        <n v="19"/>
        <n v="43"/>
        <n v="37"/>
        <n v="20"/>
        <n v="10"/>
        <n v="30"/>
        <n v="26"/>
        <n v="17"/>
        <n v="28"/>
        <n v="25"/>
      </sharedItems>
      <fieldGroup base="14">
        <rangePr startNum="8" endNum="45" groupInterval="10"/>
        <groupItems count="6">
          <s v="&lt;8"/>
          <s v="8-17"/>
          <s v="18-27"/>
          <s v="28-37"/>
          <s v="38-47"/>
          <s v="&gt;48"/>
        </groupItems>
      </fieldGroup>
    </cacheField>
    <cacheField name="month" numFmtId="0">
      <sharedItems count="12">
        <s v="December"/>
        <s v="March"/>
        <s v="February"/>
        <s v="September"/>
        <s v="May"/>
        <s v="January"/>
        <s v="November"/>
        <s v="July"/>
        <s v="August"/>
        <s v="June"/>
        <s v="October"/>
        <s v="April"/>
      </sharedItems>
    </cacheField>
    <cacheField name="day" numFmtId="0">
      <sharedItems count="7">
        <s v="Thursday"/>
        <s v="Friday"/>
        <s v="Sunday"/>
        <s v="Monday"/>
        <s v="Tuesday"/>
        <s v="Saturday"/>
        <s v="Wednesday"/>
      </sharedItems>
    </cacheField>
    <cacheField name="district2" numFmtId="0">
      <sharedItems count="10">
        <s v="Malappuram"/>
        <s v="Ernakulam"/>
        <s v="Thrissur"/>
        <s v="Kollam"/>
        <s v="Kannur"/>
        <s v="Palakkad"/>
        <s v="Kozhikode"/>
        <s v="Trivandrum"/>
        <s v="Alappuzha"/>
        <s v="Kottayam"/>
      </sharedItems>
    </cacheField>
  </cacheFields>
  <extLst>
    <ext xmlns:x14="http://schemas.microsoft.com/office/spreadsheetml/2009/9/main" uri="{725AE2AE-9491-48be-B2B4-4EB974FC3084}">
      <x14:pivotCacheDefinition pivotCacheId="75725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x v="0"/>
    <x v="0"/>
    <x v="0"/>
    <x v="0"/>
    <x v="0"/>
    <x v="0"/>
    <x v="0"/>
    <x v="0"/>
    <x v="0"/>
    <x v="0"/>
    <x v="0"/>
    <x v="0"/>
    <x v="0"/>
    <x v="0"/>
    <x v="0"/>
  </r>
  <r>
    <x v="1"/>
    <x v="1"/>
    <x v="0"/>
    <x v="1"/>
    <x v="1"/>
    <x v="1"/>
    <x v="1"/>
    <x v="1"/>
    <x v="1"/>
    <x v="0"/>
    <x v="1"/>
    <x v="1"/>
    <x v="1"/>
    <x v="1"/>
    <x v="1"/>
    <x v="1"/>
    <x v="1"/>
    <x v="1"/>
  </r>
  <r>
    <x v="1"/>
    <x v="2"/>
    <x v="1"/>
    <x v="2"/>
    <x v="2"/>
    <x v="2"/>
    <x v="2"/>
    <x v="2"/>
    <x v="0"/>
    <x v="0"/>
    <x v="2"/>
    <x v="2"/>
    <x v="0"/>
    <x v="1"/>
    <x v="2"/>
    <x v="2"/>
    <x v="0"/>
    <x v="2"/>
  </r>
  <r>
    <x v="2"/>
    <x v="3"/>
    <x v="0"/>
    <x v="3"/>
    <x v="3"/>
    <x v="3"/>
    <x v="0"/>
    <x v="0"/>
    <x v="0"/>
    <x v="0"/>
    <x v="1"/>
    <x v="3"/>
    <x v="2"/>
    <x v="0"/>
    <x v="3"/>
    <x v="3"/>
    <x v="2"/>
    <x v="3"/>
  </r>
  <r>
    <x v="2"/>
    <x v="4"/>
    <x v="0"/>
    <x v="4"/>
    <x v="4"/>
    <x v="4"/>
    <x v="2"/>
    <x v="2"/>
    <x v="2"/>
    <x v="0"/>
    <x v="3"/>
    <x v="4"/>
    <x v="2"/>
    <x v="2"/>
    <x v="4"/>
    <x v="0"/>
    <x v="3"/>
    <x v="2"/>
  </r>
  <r>
    <x v="2"/>
    <x v="5"/>
    <x v="1"/>
    <x v="5"/>
    <x v="5"/>
    <x v="5"/>
    <x v="3"/>
    <x v="2"/>
    <x v="0"/>
    <x v="0"/>
    <x v="2"/>
    <x v="5"/>
    <x v="3"/>
    <x v="3"/>
    <x v="5"/>
    <x v="0"/>
    <x v="4"/>
    <x v="4"/>
  </r>
  <r>
    <x v="0"/>
    <x v="6"/>
    <x v="0"/>
    <x v="6"/>
    <x v="6"/>
    <x v="6"/>
    <x v="3"/>
    <x v="2"/>
    <x v="2"/>
    <x v="1"/>
    <x v="4"/>
    <x v="6"/>
    <x v="1"/>
    <x v="4"/>
    <x v="6"/>
    <x v="0"/>
    <x v="2"/>
    <x v="2"/>
  </r>
  <r>
    <x v="0"/>
    <x v="7"/>
    <x v="0"/>
    <x v="7"/>
    <x v="7"/>
    <x v="7"/>
    <x v="4"/>
    <x v="1"/>
    <x v="2"/>
    <x v="0"/>
    <x v="5"/>
    <x v="7"/>
    <x v="1"/>
    <x v="4"/>
    <x v="2"/>
    <x v="4"/>
    <x v="4"/>
    <x v="1"/>
  </r>
  <r>
    <x v="2"/>
    <x v="8"/>
    <x v="1"/>
    <x v="8"/>
    <x v="8"/>
    <x v="8"/>
    <x v="3"/>
    <x v="1"/>
    <x v="1"/>
    <x v="1"/>
    <x v="5"/>
    <x v="8"/>
    <x v="1"/>
    <x v="3"/>
    <x v="7"/>
    <x v="1"/>
    <x v="0"/>
    <x v="5"/>
  </r>
  <r>
    <x v="2"/>
    <x v="9"/>
    <x v="1"/>
    <x v="9"/>
    <x v="9"/>
    <x v="9"/>
    <x v="1"/>
    <x v="1"/>
    <x v="2"/>
    <x v="0"/>
    <x v="6"/>
    <x v="9"/>
    <x v="4"/>
    <x v="4"/>
    <x v="2"/>
    <x v="0"/>
    <x v="5"/>
    <x v="4"/>
  </r>
  <r>
    <x v="3"/>
    <x v="3"/>
    <x v="1"/>
    <x v="10"/>
    <x v="10"/>
    <x v="10"/>
    <x v="0"/>
    <x v="3"/>
    <x v="2"/>
    <x v="0"/>
    <x v="7"/>
    <x v="10"/>
    <x v="4"/>
    <x v="0"/>
    <x v="8"/>
    <x v="5"/>
    <x v="1"/>
    <x v="2"/>
  </r>
  <r>
    <x v="0"/>
    <x v="8"/>
    <x v="1"/>
    <x v="11"/>
    <x v="11"/>
    <x v="11"/>
    <x v="4"/>
    <x v="2"/>
    <x v="1"/>
    <x v="1"/>
    <x v="8"/>
    <x v="4"/>
    <x v="5"/>
    <x v="4"/>
    <x v="9"/>
    <x v="6"/>
    <x v="2"/>
    <x v="6"/>
  </r>
  <r>
    <x v="2"/>
    <x v="10"/>
    <x v="0"/>
    <x v="12"/>
    <x v="12"/>
    <x v="12"/>
    <x v="2"/>
    <x v="3"/>
    <x v="2"/>
    <x v="0"/>
    <x v="9"/>
    <x v="6"/>
    <x v="0"/>
    <x v="0"/>
    <x v="10"/>
    <x v="5"/>
    <x v="1"/>
    <x v="7"/>
  </r>
  <r>
    <x v="0"/>
    <x v="9"/>
    <x v="1"/>
    <x v="13"/>
    <x v="13"/>
    <x v="13"/>
    <x v="1"/>
    <x v="2"/>
    <x v="1"/>
    <x v="0"/>
    <x v="10"/>
    <x v="11"/>
    <x v="1"/>
    <x v="5"/>
    <x v="11"/>
    <x v="7"/>
    <x v="6"/>
    <x v="6"/>
  </r>
  <r>
    <x v="1"/>
    <x v="11"/>
    <x v="1"/>
    <x v="14"/>
    <x v="14"/>
    <x v="14"/>
    <x v="3"/>
    <x v="1"/>
    <x v="2"/>
    <x v="0"/>
    <x v="11"/>
    <x v="12"/>
    <x v="3"/>
    <x v="5"/>
    <x v="12"/>
    <x v="1"/>
    <x v="2"/>
    <x v="5"/>
  </r>
  <r>
    <x v="4"/>
    <x v="11"/>
    <x v="0"/>
    <x v="15"/>
    <x v="15"/>
    <x v="15"/>
    <x v="4"/>
    <x v="3"/>
    <x v="1"/>
    <x v="0"/>
    <x v="8"/>
    <x v="13"/>
    <x v="3"/>
    <x v="5"/>
    <x v="13"/>
    <x v="0"/>
    <x v="0"/>
    <x v="0"/>
  </r>
  <r>
    <x v="0"/>
    <x v="12"/>
    <x v="1"/>
    <x v="16"/>
    <x v="16"/>
    <x v="16"/>
    <x v="2"/>
    <x v="1"/>
    <x v="0"/>
    <x v="0"/>
    <x v="7"/>
    <x v="14"/>
    <x v="0"/>
    <x v="4"/>
    <x v="14"/>
    <x v="8"/>
    <x v="0"/>
    <x v="7"/>
  </r>
  <r>
    <x v="0"/>
    <x v="13"/>
    <x v="1"/>
    <x v="17"/>
    <x v="17"/>
    <x v="17"/>
    <x v="3"/>
    <x v="1"/>
    <x v="0"/>
    <x v="0"/>
    <x v="12"/>
    <x v="15"/>
    <x v="5"/>
    <x v="1"/>
    <x v="15"/>
    <x v="1"/>
    <x v="5"/>
    <x v="4"/>
  </r>
  <r>
    <x v="2"/>
    <x v="14"/>
    <x v="0"/>
    <x v="18"/>
    <x v="18"/>
    <x v="18"/>
    <x v="3"/>
    <x v="3"/>
    <x v="0"/>
    <x v="1"/>
    <x v="13"/>
    <x v="16"/>
    <x v="1"/>
    <x v="5"/>
    <x v="16"/>
    <x v="1"/>
    <x v="2"/>
    <x v="1"/>
  </r>
  <r>
    <x v="4"/>
    <x v="5"/>
    <x v="0"/>
    <x v="19"/>
    <x v="19"/>
    <x v="19"/>
    <x v="1"/>
    <x v="3"/>
    <x v="2"/>
    <x v="0"/>
    <x v="14"/>
    <x v="17"/>
    <x v="4"/>
    <x v="4"/>
    <x v="15"/>
    <x v="4"/>
    <x v="1"/>
    <x v="7"/>
  </r>
  <r>
    <x v="4"/>
    <x v="15"/>
    <x v="1"/>
    <x v="20"/>
    <x v="20"/>
    <x v="20"/>
    <x v="0"/>
    <x v="1"/>
    <x v="2"/>
    <x v="0"/>
    <x v="15"/>
    <x v="18"/>
    <x v="5"/>
    <x v="5"/>
    <x v="17"/>
    <x v="1"/>
    <x v="2"/>
    <x v="0"/>
  </r>
  <r>
    <x v="4"/>
    <x v="0"/>
    <x v="1"/>
    <x v="21"/>
    <x v="21"/>
    <x v="21"/>
    <x v="0"/>
    <x v="0"/>
    <x v="2"/>
    <x v="0"/>
    <x v="16"/>
    <x v="19"/>
    <x v="4"/>
    <x v="1"/>
    <x v="7"/>
    <x v="0"/>
    <x v="1"/>
    <x v="1"/>
  </r>
  <r>
    <x v="4"/>
    <x v="9"/>
    <x v="0"/>
    <x v="22"/>
    <x v="22"/>
    <x v="22"/>
    <x v="4"/>
    <x v="3"/>
    <x v="0"/>
    <x v="1"/>
    <x v="17"/>
    <x v="14"/>
    <x v="2"/>
    <x v="1"/>
    <x v="18"/>
    <x v="0"/>
    <x v="3"/>
    <x v="1"/>
  </r>
  <r>
    <x v="1"/>
    <x v="16"/>
    <x v="1"/>
    <x v="23"/>
    <x v="23"/>
    <x v="23"/>
    <x v="1"/>
    <x v="2"/>
    <x v="1"/>
    <x v="0"/>
    <x v="18"/>
    <x v="20"/>
    <x v="5"/>
    <x v="5"/>
    <x v="19"/>
    <x v="4"/>
    <x v="2"/>
    <x v="3"/>
  </r>
  <r>
    <x v="4"/>
    <x v="11"/>
    <x v="0"/>
    <x v="24"/>
    <x v="24"/>
    <x v="24"/>
    <x v="4"/>
    <x v="3"/>
    <x v="1"/>
    <x v="0"/>
    <x v="19"/>
    <x v="21"/>
    <x v="4"/>
    <x v="2"/>
    <x v="20"/>
    <x v="4"/>
    <x v="1"/>
    <x v="5"/>
  </r>
  <r>
    <x v="0"/>
    <x v="17"/>
    <x v="1"/>
    <x v="25"/>
    <x v="25"/>
    <x v="25"/>
    <x v="0"/>
    <x v="1"/>
    <x v="1"/>
    <x v="1"/>
    <x v="13"/>
    <x v="22"/>
    <x v="4"/>
    <x v="1"/>
    <x v="10"/>
    <x v="0"/>
    <x v="5"/>
    <x v="8"/>
  </r>
  <r>
    <x v="0"/>
    <x v="7"/>
    <x v="1"/>
    <x v="26"/>
    <x v="26"/>
    <x v="26"/>
    <x v="2"/>
    <x v="3"/>
    <x v="2"/>
    <x v="1"/>
    <x v="18"/>
    <x v="17"/>
    <x v="1"/>
    <x v="3"/>
    <x v="20"/>
    <x v="9"/>
    <x v="6"/>
    <x v="6"/>
  </r>
  <r>
    <x v="4"/>
    <x v="6"/>
    <x v="1"/>
    <x v="27"/>
    <x v="27"/>
    <x v="27"/>
    <x v="4"/>
    <x v="2"/>
    <x v="1"/>
    <x v="1"/>
    <x v="20"/>
    <x v="23"/>
    <x v="3"/>
    <x v="5"/>
    <x v="20"/>
    <x v="1"/>
    <x v="0"/>
    <x v="2"/>
  </r>
  <r>
    <x v="2"/>
    <x v="18"/>
    <x v="0"/>
    <x v="28"/>
    <x v="18"/>
    <x v="28"/>
    <x v="3"/>
    <x v="3"/>
    <x v="1"/>
    <x v="0"/>
    <x v="21"/>
    <x v="13"/>
    <x v="4"/>
    <x v="5"/>
    <x v="21"/>
    <x v="1"/>
    <x v="2"/>
    <x v="1"/>
  </r>
  <r>
    <x v="4"/>
    <x v="11"/>
    <x v="0"/>
    <x v="29"/>
    <x v="28"/>
    <x v="29"/>
    <x v="0"/>
    <x v="3"/>
    <x v="1"/>
    <x v="0"/>
    <x v="22"/>
    <x v="7"/>
    <x v="1"/>
    <x v="1"/>
    <x v="22"/>
    <x v="8"/>
    <x v="6"/>
    <x v="8"/>
  </r>
  <r>
    <x v="0"/>
    <x v="4"/>
    <x v="0"/>
    <x v="30"/>
    <x v="29"/>
    <x v="30"/>
    <x v="4"/>
    <x v="0"/>
    <x v="0"/>
    <x v="0"/>
    <x v="21"/>
    <x v="24"/>
    <x v="5"/>
    <x v="1"/>
    <x v="20"/>
    <x v="6"/>
    <x v="0"/>
    <x v="3"/>
  </r>
  <r>
    <x v="0"/>
    <x v="12"/>
    <x v="0"/>
    <x v="31"/>
    <x v="30"/>
    <x v="31"/>
    <x v="0"/>
    <x v="2"/>
    <x v="1"/>
    <x v="0"/>
    <x v="23"/>
    <x v="25"/>
    <x v="0"/>
    <x v="5"/>
    <x v="23"/>
    <x v="4"/>
    <x v="2"/>
    <x v="6"/>
  </r>
  <r>
    <x v="1"/>
    <x v="9"/>
    <x v="0"/>
    <x v="32"/>
    <x v="31"/>
    <x v="32"/>
    <x v="1"/>
    <x v="1"/>
    <x v="1"/>
    <x v="1"/>
    <x v="19"/>
    <x v="26"/>
    <x v="1"/>
    <x v="5"/>
    <x v="9"/>
    <x v="3"/>
    <x v="2"/>
    <x v="4"/>
  </r>
  <r>
    <x v="0"/>
    <x v="9"/>
    <x v="1"/>
    <x v="33"/>
    <x v="32"/>
    <x v="33"/>
    <x v="4"/>
    <x v="3"/>
    <x v="1"/>
    <x v="1"/>
    <x v="24"/>
    <x v="27"/>
    <x v="5"/>
    <x v="0"/>
    <x v="24"/>
    <x v="3"/>
    <x v="3"/>
    <x v="9"/>
  </r>
  <r>
    <x v="0"/>
    <x v="3"/>
    <x v="0"/>
    <x v="34"/>
    <x v="33"/>
    <x v="34"/>
    <x v="3"/>
    <x v="1"/>
    <x v="2"/>
    <x v="0"/>
    <x v="25"/>
    <x v="28"/>
    <x v="0"/>
    <x v="5"/>
    <x v="6"/>
    <x v="0"/>
    <x v="4"/>
    <x v="5"/>
  </r>
  <r>
    <x v="0"/>
    <x v="11"/>
    <x v="1"/>
    <x v="35"/>
    <x v="34"/>
    <x v="35"/>
    <x v="4"/>
    <x v="3"/>
    <x v="2"/>
    <x v="1"/>
    <x v="26"/>
    <x v="29"/>
    <x v="3"/>
    <x v="1"/>
    <x v="13"/>
    <x v="1"/>
    <x v="0"/>
    <x v="4"/>
  </r>
  <r>
    <x v="4"/>
    <x v="19"/>
    <x v="0"/>
    <x v="36"/>
    <x v="35"/>
    <x v="36"/>
    <x v="0"/>
    <x v="1"/>
    <x v="2"/>
    <x v="0"/>
    <x v="24"/>
    <x v="22"/>
    <x v="3"/>
    <x v="1"/>
    <x v="25"/>
    <x v="3"/>
    <x v="4"/>
    <x v="7"/>
  </r>
  <r>
    <x v="4"/>
    <x v="4"/>
    <x v="0"/>
    <x v="37"/>
    <x v="36"/>
    <x v="37"/>
    <x v="2"/>
    <x v="2"/>
    <x v="1"/>
    <x v="1"/>
    <x v="11"/>
    <x v="30"/>
    <x v="2"/>
    <x v="3"/>
    <x v="25"/>
    <x v="10"/>
    <x v="3"/>
    <x v="0"/>
  </r>
  <r>
    <x v="2"/>
    <x v="20"/>
    <x v="1"/>
    <x v="38"/>
    <x v="37"/>
    <x v="38"/>
    <x v="1"/>
    <x v="0"/>
    <x v="1"/>
    <x v="1"/>
    <x v="27"/>
    <x v="6"/>
    <x v="3"/>
    <x v="3"/>
    <x v="6"/>
    <x v="6"/>
    <x v="2"/>
    <x v="3"/>
  </r>
  <r>
    <x v="0"/>
    <x v="20"/>
    <x v="0"/>
    <x v="39"/>
    <x v="38"/>
    <x v="39"/>
    <x v="1"/>
    <x v="0"/>
    <x v="0"/>
    <x v="1"/>
    <x v="28"/>
    <x v="31"/>
    <x v="0"/>
    <x v="2"/>
    <x v="18"/>
    <x v="0"/>
    <x v="6"/>
    <x v="2"/>
  </r>
  <r>
    <x v="2"/>
    <x v="21"/>
    <x v="1"/>
    <x v="40"/>
    <x v="39"/>
    <x v="40"/>
    <x v="2"/>
    <x v="3"/>
    <x v="1"/>
    <x v="1"/>
    <x v="8"/>
    <x v="32"/>
    <x v="0"/>
    <x v="4"/>
    <x v="26"/>
    <x v="3"/>
    <x v="1"/>
    <x v="4"/>
  </r>
  <r>
    <x v="2"/>
    <x v="22"/>
    <x v="1"/>
    <x v="41"/>
    <x v="40"/>
    <x v="41"/>
    <x v="3"/>
    <x v="0"/>
    <x v="0"/>
    <x v="1"/>
    <x v="11"/>
    <x v="33"/>
    <x v="2"/>
    <x v="4"/>
    <x v="7"/>
    <x v="0"/>
    <x v="3"/>
    <x v="6"/>
  </r>
  <r>
    <x v="1"/>
    <x v="23"/>
    <x v="0"/>
    <x v="42"/>
    <x v="41"/>
    <x v="42"/>
    <x v="0"/>
    <x v="2"/>
    <x v="2"/>
    <x v="1"/>
    <x v="29"/>
    <x v="27"/>
    <x v="2"/>
    <x v="0"/>
    <x v="7"/>
    <x v="8"/>
    <x v="4"/>
    <x v="7"/>
  </r>
  <r>
    <x v="4"/>
    <x v="9"/>
    <x v="0"/>
    <x v="43"/>
    <x v="42"/>
    <x v="43"/>
    <x v="2"/>
    <x v="0"/>
    <x v="1"/>
    <x v="0"/>
    <x v="24"/>
    <x v="34"/>
    <x v="0"/>
    <x v="3"/>
    <x v="27"/>
    <x v="5"/>
    <x v="4"/>
    <x v="1"/>
  </r>
  <r>
    <x v="1"/>
    <x v="19"/>
    <x v="1"/>
    <x v="44"/>
    <x v="43"/>
    <x v="44"/>
    <x v="3"/>
    <x v="3"/>
    <x v="2"/>
    <x v="0"/>
    <x v="23"/>
    <x v="35"/>
    <x v="3"/>
    <x v="3"/>
    <x v="5"/>
    <x v="1"/>
    <x v="5"/>
    <x v="5"/>
  </r>
  <r>
    <x v="4"/>
    <x v="4"/>
    <x v="0"/>
    <x v="45"/>
    <x v="44"/>
    <x v="45"/>
    <x v="1"/>
    <x v="0"/>
    <x v="0"/>
    <x v="1"/>
    <x v="30"/>
    <x v="14"/>
    <x v="1"/>
    <x v="3"/>
    <x v="25"/>
    <x v="0"/>
    <x v="4"/>
    <x v="2"/>
  </r>
  <r>
    <x v="0"/>
    <x v="24"/>
    <x v="1"/>
    <x v="46"/>
    <x v="45"/>
    <x v="46"/>
    <x v="2"/>
    <x v="3"/>
    <x v="2"/>
    <x v="1"/>
    <x v="15"/>
    <x v="21"/>
    <x v="3"/>
    <x v="0"/>
    <x v="28"/>
    <x v="7"/>
    <x v="2"/>
    <x v="4"/>
  </r>
  <r>
    <x v="4"/>
    <x v="25"/>
    <x v="0"/>
    <x v="47"/>
    <x v="46"/>
    <x v="47"/>
    <x v="3"/>
    <x v="1"/>
    <x v="1"/>
    <x v="1"/>
    <x v="29"/>
    <x v="36"/>
    <x v="2"/>
    <x v="4"/>
    <x v="12"/>
    <x v="8"/>
    <x v="2"/>
    <x v="5"/>
  </r>
  <r>
    <x v="2"/>
    <x v="17"/>
    <x v="0"/>
    <x v="48"/>
    <x v="47"/>
    <x v="48"/>
    <x v="1"/>
    <x v="2"/>
    <x v="1"/>
    <x v="1"/>
    <x v="31"/>
    <x v="26"/>
    <x v="2"/>
    <x v="1"/>
    <x v="23"/>
    <x v="9"/>
    <x v="5"/>
    <x v="4"/>
  </r>
  <r>
    <x v="1"/>
    <x v="3"/>
    <x v="1"/>
    <x v="49"/>
    <x v="48"/>
    <x v="49"/>
    <x v="3"/>
    <x v="3"/>
    <x v="1"/>
    <x v="1"/>
    <x v="32"/>
    <x v="37"/>
    <x v="0"/>
    <x v="5"/>
    <x v="15"/>
    <x v="9"/>
    <x v="6"/>
    <x v="8"/>
  </r>
  <r>
    <x v="1"/>
    <x v="19"/>
    <x v="1"/>
    <x v="50"/>
    <x v="49"/>
    <x v="50"/>
    <x v="2"/>
    <x v="2"/>
    <x v="0"/>
    <x v="1"/>
    <x v="27"/>
    <x v="12"/>
    <x v="0"/>
    <x v="2"/>
    <x v="19"/>
    <x v="6"/>
    <x v="5"/>
    <x v="6"/>
  </r>
  <r>
    <x v="1"/>
    <x v="17"/>
    <x v="0"/>
    <x v="51"/>
    <x v="50"/>
    <x v="51"/>
    <x v="3"/>
    <x v="0"/>
    <x v="0"/>
    <x v="0"/>
    <x v="21"/>
    <x v="34"/>
    <x v="2"/>
    <x v="4"/>
    <x v="10"/>
    <x v="3"/>
    <x v="6"/>
    <x v="4"/>
  </r>
  <r>
    <x v="0"/>
    <x v="13"/>
    <x v="0"/>
    <x v="52"/>
    <x v="51"/>
    <x v="52"/>
    <x v="3"/>
    <x v="0"/>
    <x v="1"/>
    <x v="1"/>
    <x v="2"/>
    <x v="38"/>
    <x v="3"/>
    <x v="6"/>
    <x v="25"/>
    <x v="1"/>
    <x v="2"/>
    <x v="8"/>
  </r>
  <r>
    <x v="2"/>
    <x v="26"/>
    <x v="1"/>
    <x v="53"/>
    <x v="52"/>
    <x v="53"/>
    <x v="4"/>
    <x v="1"/>
    <x v="0"/>
    <x v="1"/>
    <x v="33"/>
    <x v="39"/>
    <x v="0"/>
    <x v="6"/>
    <x v="12"/>
    <x v="6"/>
    <x v="1"/>
    <x v="4"/>
  </r>
  <r>
    <x v="4"/>
    <x v="27"/>
    <x v="0"/>
    <x v="54"/>
    <x v="53"/>
    <x v="54"/>
    <x v="3"/>
    <x v="2"/>
    <x v="2"/>
    <x v="1"/>
    <x v="7"/>
    <x v="23"/>
    <x v="2"/>
    <x v="2"/>
    <x v="15"/>
    <x v="10"/>
    <x v="0"/>
    <x v="9"/>
  </r>
  <r>
    <x v="0"/>
    <x v="9"/>
    <x v="1"/>
    <x v="55"/>
    <x v="54"/>
    <x v="55"/>
    <x v="1"/>
    <x v="0"/>
    <x v="2"/>
    <x v="0"/>
    <x v="17"/>
    <x v="40"/>
    <x v="4"/>
    <x v="1"/>
    <x v="0"/>
    <x v="11"/>
    <x v="4"/>
    <x v="3"/>
  </r>
  <r>
    <x v="0"/>
    <x v="26"/>
    <x v="1"/>
    <x v="56"/>
    <x v="55"/>
    <x v="56"/>
    <x v="1"/>
    <x v="0"/>
    <x v="2"/>
    <x v="0"/>
    <x v="22"/>
    <x v="10"/>
    <x v="0"/>
    <x v="6"/>
    <x v="29"/>
    <x v="7"/>
    <x v="6"/>
    <x v="9"/>
  </r>
  <r>
    <x v="0"/>
    <x v="6"/>
    <x v="0"/>
    <x v="57"/>
    <x v="56"/>
    <x v="57"/>
    <x v="4"/>
    <x v="2"/>
    <x v="1"/>
    <x v="0"/>
    <x v="34"/>
    <x v="33"/>
    <x v="0"/>
    <x v="2"/>
    <x v="27"/>
    <x v="3"/>
    <x v="2"/>
    <x v="5"/>
  </r>
  <r>
    <x v="0"/>
    <x v="10"/>
    <x v="1"/>
    <x v="58"/>
    <x v="57"/>
    <x v="58"/>
    <x v="2"/>
    <x v="1"/>
    <x v="0"/>
    <x v="0"/>
    <x v="0"/>
    <x v="41"/>
    <x v="2"/>
    <x v="6"/>
    <x v="30"/>
    <x v="7"/>
    <x v="4"/>
    <x v="4"/>
  </r>
  <r>
    <x v="0"/>
    <x v="8"/>
    <x v="0"/>
    <x v="59"/>
    <x v="58"/>
    <x v="59"/>
    <x v="3"/>
    <x v="0"/>
    <x v="2"/>
    <x v="1"/>
    <x v="19"/>
    <x v="13"/>
    <x v="5"/>
    <x v="1"/>
    <x v="25"/>
    <x v="7"/>
    <x v="3"/>
    <x v="9"/>
  </r>
  <r>
    <x v="2"/>
    <x v="12"/>
    <x v="1"/>
    <x v="60"/>
    <x v="59"/>
    <x v="60"/>
    <x v="4"/>
    <x v="0"/>
    <x v="2"/>
    <x v="0"/>
    <x v="34"/>
    <x v="36"/>
    <x v="0"/>
    <x v="0"/>
    <x v="31"/>
    <x v="7"/>
    <x v="6"/>
    <x v="7"/>
  </r>
  <r>
    <x v="1"/>
    <x v="14"/>
    <x v="0"/>
    <x v="61"/>
    <x v="60"/>
    <x v="61"/>
    <x v="2"/>
    <x v="3"/>
    <x v="2"/>
    <x v="1"/>
    <x v="14"/>
    <x v="33"/>
    <x v="3"/>
    <x v="1"/>
    <x v="32"/>
    <x v="1"/>
    <x v="0"/>
    <x v="6"/>
  </r>
  <r>
    <x v="0"/>
    <x v="17"/>
    <x v="0"/>
    <x v="62"/>
    <x v="61"/>
    <x v="62"/>
    <x v="0"/>
    <x v="3"/>
    <x v="1"/>
    <x v="1"/>
    <x v="35"/>
    <x v="42"/>
    <x v="3"/>
    <x v="1"/>
    <x v="33"/>
    <x v="6"/>
    <x v="5"/>
    <x v="4"/>
  </r>
  <r>
    <x v="1"/>
    <x v="8"/>
    <x v="0"/>
    <x v="63"/>
    <x v="62"/>
    <x v="63"/>
    <x v="4"/>
    <x v="3"/>
    <x v="2"/>
    <x v="1"/>
    <x v="5"/>
    <x v="22"/>
    <x v="4"/>
    <x v="0"/>
    <x v="10"/>
    <x v="7"/>
    <x v="6"/>
    <x v="3"/>
  </r>
  <r>
    <x v="2"/>
    <x v="3"/>
    <x v="0"/>
    <x v="64"/>
    <x v="63"/>
    <x v="64"/>
    <x v="0"/>
    <x v="0"/>
    <x v="2"/>
    <x v="0"/>
    <x v="27"/>
    <x v="8"/>
    <x v="1"/>
    <x v="4"/>
    <x v="33"/>
    <x v="1"/>
    <x v="2"/>
    <x v="3"/>
  </r>
  <r>
    <x v="1"/>
    <x v="3"/>
    <x v="0"/>
    <x v="65"/>
    <x v="64"/>
    <x v="65"/>
    <x v="4"/>
    <x v="0"/>
    <x v="1"/>
    <x v="1"/>
    <x v="34"/>
    <x v="37"/>
    <x v="4"/>
    <x v="0"/>
    <x v="24"/>
    <x v="1"/>
    <x v="2"/>
    <x v="1"/>
  </r>
  <r>
    <x v="1"/>
    <x v="26"/>
    <x v="1"/>
    <x v="66"/>
    <x v="65"/>
    <x v="66"/>
    <x v="4"/>
    <x v="1"/>
    <x v="0"/>
    <x v="0"/>
    <x v="36"/>
    <x v="43"/>
    <x v="0"/>
    <x v="2"/>
    <x v="0"/>
    <x v="7"/>
    <x v="2"/>
    <x v="6"/>
  </r>
  <r>
    <x v="2"/>
    <x v="1"/>
    <x v="1"/>
    <x v="67"/>
    <x v="66"/>
    <x v="67"/>
    <x v="4"/>
    <x v="1"/>
    <x v="1"/>
    <x v="1"/>
    <x v="33"/>
    <x v="29"/>
    <x v="3"/>
    <x v="3"/>
    <x v="4"/>
    <x v="5"/>
    <x v="1"/>
    <x v="3"/>
  </r>
  <r>
    <x v="1"/>
    <x v="3"/>
    <x v="1"/>
    <x v="68"/>
    <x v="67"/>
    <x v="68"/>
    <x v="3"/>
    <x v="2"/>
    <x v="1"/>
    <x v="0"/>
    <x v="37"/>
    <x v="9"/>
    <x v="4"/>
    <x v="6"/>
    <x v="20"/>
    <x v="10"/>
    <x v="0"/>
    <x v="4"/>
  </r>
  <r>
    <x v="1"/>
    <x v="6"/>
    <x v="0"/>
    <x v="69"/>
    <x v="68"/>
    <x v="69"/>
    <x v="0"/>
    <x v="1"/>
    <x v="0"/>
    <x v="1"/>
    <x v="13"/>
    <x v="1"/>
    <x v="0"/>
    <x v="4"/>
    <x v="29"/>
    <x v="4"/>
    <x v="3"/>
    <x v="5"/>
  </r>
  <r>
    <x v="4"/>
    <x v="28"/>
    <x v="1"/>
    <x v="70"/>
    <x v="69"/>
    <x v="70"/>
    <x v="0"/>
    <x v="2"/>
    <x v="0"/>
    <x v="1"/>
    <x v="11"/>
    <x v="44"/>
    <x v="2"/>
    <x v="5"/>
    <x v="5"/>
    <x v="8"/>
    <x v="6"/>
    <x v="8"/>
  </r>
  <r>
    <x v="1"/>
    <x v="18"/>
    <x v="0"/>
    <x v="71"/>
    <x v="70"/>
    <x v="71"/>
    <x v="0"/>
    <x v="0"/>
    <x v="2"/>
    <x v="0"/>
    <x v="8"/>
    <x v="39"/>
    <x v="0"/>
    <x v="0"/>
    <x v="13"/>
    <x v="9"/>
    <x v="0"/>
    <x v="8"/>
  </r>
  <r>
    <x v="0"/>
    <x v="1"/>
    <x v="0"/>
    <x v="72"/>
    <x v="71"/>
    <x v="72"/>
    <x v="1"/>
    <x v="0"/>
    <x v="1"/>
    <x v="0"/>
    <x v="35"/>
    <x v="45"/>
    <x v="3"/>
    <x v="2"/>
    <x v="4"/>
    <x v="1"/>
    <x v="4"/>
    <x v="0"/>
  </r>
  <r>
    <x v="1"/>
    <x v="12"/>
    <x v="0"/>
    <x v="73"/>
    <x v="72"/>
    <x v="73"/>
    <x v="2"/>
    <x v="0"/>
    <x v="1"/>
    <x v="1"/>
    <x v="15"/>
    <x v="46"/>
    <x v="3"/>
    <x v="0"/>
    <x v="16"/>
    <x v="1"/>
    <x v="4"/>
    <x v="1"/>
  </r>
  <r>
    <x v="0"/>
    <x v="23"/>
    <x v="0"/>
    <x v="74"/>
    <x v="73"/>
    <x v="74"/>
    <x v="0"/>
    <x v="3"/>
    <x v="2"/>
    <x v="1"/>
    <x v="17"/>
    <x v="40"/>
    <x v="4"/>
    <x v="3"/>
    <x v="19"/>
    <x v="6"/>
    <x v="3"/>
    <x v="4"/>
  </r>
  <r>
    <x v="0"/>
    <x v="11"/>
    <x v="0"/>
    <x v="75"/>
    <x v="74"/>
    <x v="75"/>
    <x v="1"/>
    <x v="2"/>
    <x v="0"/>
    <x v="0"/>
    <x v="38"/>
    <x v="47"/>
    <x v="1"/>
    <x v="4"/>
    <x v="34"/>
    <x v="4"/>
    <x v="6"/>
    <x v="8"/>
  </r>
  <r>
    <x v="2"/>
    <x v="6"/>
    <x v="0"/>
    <x v="76"/>
    <x v="75"/>
    <x v="76"/>
    <x v="0"/>
    <x v="3"/>
    <x v="2"/>
    <x v="0"/>
    <x v="25"/>
    <x v="48"/>
    <x v="2"/>
    <x v="3"/>
    <x v="17"/>
    <x v="6"/>
    <x v="6"/>
    <x v="8"/>
  </r>
  <r>
    <x v="2"/>
    <x v="19"/>
    <x v="1"/>
    <x v="77"/>
    <x v="76"/>
    <x v="77"/>
    <x v="1"/>
    <x v="1"/>
    <x v="2"/>
    <x v="1"/>
    <x v="0"/>
    <x v="38"/>
    <x v="5"/>
    <x v="5"/>
    <x v="35"/>
    <x v="10"/>
    <x v="6"/>
    <x v="2"/>
  </r>
  <r>
    <x v="1"/>
    <x v="19"/>
    <x v="0"/>
    <x v="78"/>
    <x v="77"/>
    <x v="78"/>
    <x v="2"/>
    <x v="2"/>
    <x v="2"/>
    <x v="1"/>
    <x v="18"/>
    <x v="31"/>
    <x v="4"/>
    <x v="2"/>
    <x v="18"/>
    <x v="0"/>
    <x v="1"/>
    <x v="5"/>
  </r>
  <r>
    <x v="1"/>
    <x v="1"/>
    <x v="0"/>
    <x v="79"/>
    <x v="78"/>
    <x v="79"/>
    <x v="4"/>
    <x v="2"/>
    <x v="2"/>
    <x v="0"/>
    <x v="16"/>
    <x v="3"/>
    <x v="3"/>
    <x v="1"/>
    <x v="17"/>
    <x v="8"/>
    <x v="5"/>
    <x v="4"/>
  </r>
  <r>
    <x v="0"/>
    <x v="13"/>
    <x v="1"/>
    <x v="80"/>
    <x v="79"/>
    <x v="80"/>
    <x v="1"/>
    <x v="3"/>
    <x v="0"/>
    <x v="0"/>
    <x v="18"/>
    <x v="32"/>
    <x v="0"/>
    <x v="0"/>
    <x v="11"/>
    <x v="9"/>
    <x v="2"/>
    <x v="5"/>
  </r>
  <r>
    <x v="1"/>
    <x v="15"/>
    <x v="1"/>
    <x v="81"/>
    <x v="72"/>
    <x v="29"/>
    <x v="0"/>
    <x v="3"/>
    <x v="2"/>
    <x v="0"/>
    <x v="34"/>
    <x v="49"/>
    <x v="4"/>
    <x v="3"/>
    <x v="36"/>
    <x v="1"/>
    <x v="4"/>
    <x v="3"/>
  </r>
  <r>
    <x v="0"/>
    <x v="1"/>
    <x v="1"/>
    <x v="82"/>
    <x v="80"/>
    <x v="81"/>
    <x v="0"/>
    <x v="3"/>
    <x v="2"/>
    <x v="1"/>
    <x v="1"/>
    <x v="7"/>
    <x v="0"/>
    <x v="5"/>
    <x v="17"/>
    <x v="2"/>
    <x v="5"/>
    <x v="7"/>
  </r>
  <r>
    <x v="2"/>
    <x v="14"/>
    <x v="1"/>
    <x v="83"/>
    <x v="81"/>
    <x v="82"/>
    <x v="4"/>
    <x v="1"/>
    <x v="2"/>
    <x v="1"/>
    <x v="39"/>
    <x v="10"/>
    <x v="5"/>
    <x v="6"/>
    <x v="12"/>
    <x v="10"/>
    <x v="2"/>
    <x v="0"/>
  </r>
  <r>
    <x v="2"/>
    <x v="2"/>
    <x v="1"/>
    <x v="84"/>
    <x v="82"/>
    <x v="83"/>
    <x v="3"/>
    <x v="1"/>
    <x v="0"/>
    <x v="0"/>
    <x v="30"/>
    <x v="34"/>
    <x v="1"/>
    <x v="2"/>
    <x v="4"/>
    <x v="7"/>
    <x v="5"/>
    <x v="4"/>
  </r>
  <r>
    <x v="1"/>
    <x v="7"/>
    <x v="1"/>
    <x v="85"/>
    <x v="83"/>
    <x v="84"/>
    <x v="2"/>
    <x v="3"/>
    <x v="0"/>
    <x v="0"/>
    <x v="0"/>
    <x v="47"/>
    <x v="2"/>
    <x v="5"/>
    <x v="35"/>
    <x v="4"/>
    <x v="6"/>
    <x v="8"/>
  </r>
  <r>
    <x v="1"/>
    <x v="11"/>
    <x v="0"/>
    <x v="86"/>
    <x v="84"/>
    <x v="85"/>
    <x v="1"/>
    <x v="1"/>
    <x v="0"/>
    <x v="0"/>
    <x v="30"/>
    <x v="18"/>
    <x v="4"/>
    <x v="0"/>
    <x v="22"/>
    <x v="9"/>
    <x v="6"/>
    <x v="3"/>
  </r>
  <r>
    <x v="4"/>
    <x v="12"/>
    <x v="0"/>
    <x v="87"/>
    <x v="85"/>
    <x v="86"/>
    <x v="3"/>
    <x v="3"/>
    <x v="1"/>
    <x v="1"/>
    <x v="3"/>
    <x v="50"/>
    <x v="1"/>
    <x v="3"/>
    <x v="16"/>
    <x v="4"/>
    <x v="2"/>
    <x v="1"/>
  </r>
  <r>
    <x v="1"/>
    <x v="22"/>
    <x v="0"/>
    <x v="88"/>
    <x v="86"/>
    <x v="87"/>
    <x v="2"/>
    <x v="2"/>
    <x v="1"/>
    <x v="1"/>
    <x v="40"/>
    <x v="48"/>
    <x v="3"/>
    <x v="6"/>
    <x v="14"/>
    <x v="5"/>
    <x v="3"/>
    <x v="3"/>
  </r>
  <r>
    <x v="1"/>
    <x v="15"/>
    <x v="0"/>
    <x v="89"/>
    <x v="87"/>
    <x v="88"/>
    <x v="4"/>
    <x v="1"/>
    <x v="1"/>
    <x v="1"/>
    <x v="6"/>
    <x v="47"/>
    <x v="5"/>
    <x v="1"/>
    <x v="4"/>
    <x v="11"/>
    <x v="6"/>
    <x v="3"/>
  </r>
  <r>
    <x v="1"/>
    <x v="10"/>
    <x v="0"/>
    <x v="90"/>
    <x v="88"/>
    <x v="89"/>
    <x v="3"/>
    <x v="0"/>
    <x v="2"/>
    <x v="1"/>
    <x v="38"/>
    <x v="3"/>
    <x v="3"/>
    <x v="3"/>
    <x v="6"/>
    <x v="10"/>
    <x v="0"/>
    <x v="8"/>
  </r>
  <r>
    <x v="0"/>
    <x v="19"/>
    <x v="0"/>
    <x v="91"/>
    <x v="45"/>
    <x v="90"/>
    <x v="1"/>
    <x v="3"/>
    <x v="1"/>
    <x v="0"/>
    <x v="26"/>
    <x v="51"/>
    <x v="1"/>
    <x v="2"/>
    <x v="27"/>
    <x v="7"/>
    <x v="2"/>
    <x v="0"/>
  </r>
  <r>
    <x v="0"/>
    <x v="19"/>
    <x v="1"/>
    <x v="92"/>
    <x v="89"/>
    <x v="91"/>
    <x v="0"/>
    <x v="3"/>
    <x v="0"/>
    <x v="0"/>
    <x v="22"/>
    <x v="9"/>
    <x v="3"/>
    <x v="1"/>
    <x v="36"/>
    <x v="0"/>
    <x v="6"/>
    <x v="7"/>
  </r>
  <r>
    <x v="1"/>
    <x v="0"/>
    <x v="0"/>
    <x v="93"/>
    <x v="90"/>
    <x v="92"/>
    <x v="0"/>
    <x v="0"/>
    <x v="2"/>
    <x v="0"/>
    <x v="19"/>
    <x v="52"/>
    <x v="3"/>
    <x v="2"/>
    <x v="28"/>
    <x v="2"/>
    <x v="3"/>
    <x v="6"/>
  </r>
  <r>
    <x v="2"/>
    <x v="16"/>
    <x v="1"/>
    <x v="94"/>
    <x v="4"/>
    <x v="93"/>
    <x v="3"/>
    <x v="0"/>
    <x v="0"/>
    <x v="1"/>
    <x v="28"/>
    <x v="6"/>
    <x v="0"/>
    <x v="4"/>
    <x v="32"/>
    <x v="0"/>
    <x v="3"/>
    <x v="4"/>
  </r>
  <r>
    <x v="0"/>
    <x v="26"/>
    <x v="0"/>
    <x v="95"/>
    <x v="91"/>
    <x v="94"/>
    <x v="0"/>
    <x v="0"/>
    <x v="2"/>
    <x v="1"/>
    <x v="19"/>
    <x v="25"/>
    <x v="0"/>
    <x v="0"/>
    <x v="5"/>
    <x v="3"/>
    <x v="1"/>
    <x v="3"/>
  </r>
  <r>
    <x v="4"/>
    <x v="15"/>
    <x v="1"/>
    <x v="96"/>
    <x v="92"/>
    <x v="95"/>
    <x v="3"/>
    <x v="3"/>
    <x v="2"/>
    <x v="1"/>
    <x v="12"/>
    <x v="53"/>
    <x v="2"/>
    <x v="4"/>
    <x v="33"/>
    <x v="2"/>
    <x v="1"/>
    <x v="7"/>
  </r>
  <r>
    <x v="4"/>
    <x v="16"/>
    <x v="0"/>
    <x v="97"/>
    <x v="93"/>
    <x v="96"/>
    <x v="3"/>
    <x v="2"/>
    <x v="2"/>
    <x v="1"/>
    <x v="2"/>
    <x v="54"/>
    <x v="2"/>
    <x v="1"/>
    <x v="2"/>
    <x v="5"/>
    <x v="0"/>
    <x v="9"/>
  </r>
  <r>
    <x v="1"/>
    <x v="4"/>
    <x v="0"/>
    <x v="98"/>
    <x v="94"/>
    <x v="52"/>
    <x v="3"/>
    <x v="2"/>
    <x v="2"/>
    <x v="1"/>
    <x v="41"/>
    <x v="55"/>
    <x v="4"/>
    <x v="1"/>
    <x v="8"/>
    <x v="10"/>
    <x v="1"/>
    <x v="9"/>
  </r>
  <r>
    <x v="2"/>
    <x v="21"/>
    <x v="0"/>
    <x v="99"/>
    <x v="95"/>
    <x v="97"/>
    <x v="1"/>
    <x v="2"/>
    <x v="2"/>
    <x v="1"/>
    <x v="36"/>
    <x v="56"/>
    <x v="5"/>
    <x v="1"/>
    <x v="11"/>
    <x v="11"/>
    <x v="5"/>
    <x v="7"/>
  </r>
  <r>
    <x v="1"/>
    <x v="18"/>
    <x v="0"/>
    <x v="100"/>
    <x v="96"/>
    <x v="98"/>
    <x v="1"/>
    <x v="3"/>
    <x v="0"/>
    <x v="0"/>
    <x v="19"/>
    <x v="57"/>
    <x v="3"/>
    <x v="4"/>
    <x v="18"/>
    <x v="4"/>
    <x v="4"/>
    <x v="6"/>
  </r>
  <r>
    <x v="4"/>
    <x v="5"/>
    <x v="0"/>
    <x v="101"/>
    <x v="97"/>
    <x v="99"/>
    <x v="3"/>
    <x v="3"/>
    <x v="1"/>
    <x v="1"/>
    <x v="8"/>
    <x v="37"/>
    <x v="3"/>
    <x v="4"/>
    <x v="15"/>
    <x v="2"/>
    <x v="6"/>
    <x v="7"/>
  </r>
  <r>
    <x v="2"/>
    <x v="17"/>
    <x v="1"/>
    <x v="102"/>
    <x v="98"/>
    <x v="100"/>
    <x v="3"/>
    <x v="0"/>
    <x v="0"/>
    <x v="1"/>
    <x v="7"/>
    <x v="57"/>
    <x v="2"/>
    <x v="6"/>
    <x v="25"/>
    <x v="0"/>
    <x v="5"/>
    <x v="5"/>
  </r>
  <r>
    <x v="2"/>
    <x v="0"/>
    <x v="0"/>
    <x v="103"/>
    <x v="99"/>
    <x v="101"/>
    <x v="2"/>
    <x v="1"/>
    <x v="0"/>
    <x v="1"/>
    <x v="42"/>
    <x v="45"/>
    <x v="0"/>
    <x v="2"/>
    <x v="35"/>
    <x v="1"/>
    <x v="3"/>
    <x v="9"/>
  </r>
  <r>
    <x v="0"/>
    <x v="4"/>
    <x v="0"/>
    <x v="104"/>
    <x v="100"/>
    <x v="102"/>
    <x v="0"/>
    <x v="1"/>
    <x v="0"/>
    <x v="0"/>
    <x v="36"/>
    <x v="55"/>
    <x v="1"/>
    <x v="1"/>
    <x v="33"/>
    <x v="10"/>
    <x v="4"/>
    <x v="1"/>
  </r>
  <r>
    <x v="1"/>
    <x v="29"/>
    <x v="0"/>
    <x v="105"/>
    <x v="101"/>
    <x v="103"/>
    <x v="3"/>
    <x v="1"/>
    <x v="1"/>
    <x v="0"/>
    <x v="43"/>
    <x v="44"/>
    <x v="2"/>
    <x v="6"/>
    <x v="30"/>
    <x v="11"/>
    <x v="2"/>
    <x v="1"/>
  </r>
  <r>
    <x v="2"/>
    <x v="8"/>
    <x v="1"/>
    <x v="106"/>
    <x v="102"/>
    <x v="104"/>
    <x v="3"/>
    <x v="2"/>
    <x v="0"/>
    <x v="0"/>
    <x v="32"/>
    <x v="41"/>
    <x v="5"/>
    <x v="5"/>
    <x v="30"/>
    <x v="7"/>
    <x v="0"/>
    <x v="0"/>
  </r>
  <r>
    <x v="2"/>
    <x v="28"/>
    <x v="1"/>
    <x v="107"/>
    <x v="103"/>
    <x v="105"/>
    <x v="3"/>
    <x v="1"/>
    <x v="2"/>
    <x v="0"/>
    <x v="25"/>
    <x v="47"/>
    <x v="1"/>
    <x v="1"/>
    <x v="23"/>
    <x v="1"/>
    <x v="0"/>
    <x v="1"/>
  </r>
  <r>
    <x v="1"/>
    <x v="20"/>
    <x v="1"/>
    <x v="108"/>
    <x v="104"/>
    <x v="106"/>
    <x v="3"/>
    <x v="3"/>
    <x v="1"/>
    <x v="0"/>
    <x v="18"/>
    <x v="32"/>
    <x v="4"/>
    <x v="0"/>
    <x v="21"/>
    <x v="7"/>
    <x v="5"/>
    <x v="8"/>
  </r>
  <r>
    <x v="4"/>
    <x v="10"/>
    <x v="0"/>
    <x v="109"/>
    <x v="105"/>
    <x v="15"/>
    <x v="1"/>
    <x v="2"/>
    <x v="2"/>
    <x v="0"/>
    <x v="15"/>
    <x v="58"/>
    <x v="2"/>
    <x v="4"/>
    <x v="13"/>
    <x v="9"/>
    <x v="5"/>
    <x v="7"/>
  </r>
  <r>
    <x v="0"/>
    <x v="2"/>
    <x v="0"/>
    <x v="110"/>
    <x v="106"/>
    <x v="107"/>
    <x v="0"/>
    <x v="2"/>
    <x v="0"/>
    <x v="0"/>
    <x v="0"/>
    <x v="31"/>
    <x v="4"/>
    <x v="3"/>
    <x v="34"/>
    <x v="8"/>
    <x v="1"/>
    <x v="0"/>
  </r>
  <r>
    <x v="0"/>
    <x v="8"/>
    <x v="0"/>
    <x v="111"/>
    <x v="107"/>
    <x v="108"/>
    <x v="0"/>
    <x v="0"/>
    <x v="1"/>
    <x v="1"/>
    <x v="44"/>
    <x v="8"/>
    <x v="5"/>
    <x v="6"/>
    <x v="7"/>
    <x v="5"/>
    <x v="5"/>
    <x v="6"/>
  </r>
  <r>
    <x v="3"/>
    <x v="23"/>
    <x v="0"/>
    <x v="112"/>
    <x v="10"/>
    <x v="109"/>
    <x v="0"/>
    <x v="1"/>
    <x v="2"/>
    <x v="1"/>
    <x v="10"/>
    <x v="53"/>
    <x v="4"/>
    <x v="2"/>
    <x v="27"/>
    <x v="5"/>
    <x v="1"/>
    <x v="4"/>
  </r>
  <r>
    <x v="1"/>
    <x v="22"/>
    <x v="1"/>
    <x v="113"/>
    <x v="108"/>
    <x v="110"/>
    <x v="4"/>
    <x v="2"/>
    <x v="2"/>
    <x v="1"/>
    <x v="5"/>
    <x v="3"/>
    <x v="3"/>
    <x v="5"/>
    <x v="20"/>
    <x v="9"/>
    <x v="1"/>
    <x v="0"/>
  </r>
  <r>
    <x v="1"/>
    <x v="25"/>
    <x v="1"/>
    <x v="114"/>
    <x v="109"/>
    <x v="111"/>
    <x v="3"/>
    <x v="3"/>
    <x v="2"/>
    <x v="1"/>
    <x v="39"/>
    <x v="41"/>
    <x v="4"/>
    <x v="0"/>
    <x v="36"/>
    <x v="5"/>
    <x v="6"/>
    <x v="7"/>
  </r>
  <r>
    <x v="1"/>
    <x v="2"/>
    <x v="1"/>
    <x v="115"/>
    <x v="64"/>
    <x v="112"/>
    <x v="2"/>
    <x v="3"/>
    <x v="2"/>
    <x v="1"/>
    <x v="6"/>
    <x v="22"/>
    <x v="5"/>
    <x v="4"/>
    <x v="1"/>
    <x v="1"/>
    <x v="2"/>
    <x v="6"/>
  </r>
  <r>
    <x v="0"/>
    <x v="4"/>
    <x v="0"/>
    <x v="116"/>
    <x v="110"/>
    <x v="113"/>
    <x v="0"/>
    <x v="3"/>
    <x v="1"/>
    <x v="0"/>
    <x v="42"/>
    <x v="0"/>
    <x v="4"/>
    <x v="3"/>
    <x v="11"/>
    <x v="1"/>
    <x v="1"/>
    <x v="4"/>
  </r>
  <r>
    <x v="2"/>
    <x v="10"/>
    <x v="0"/>
    <x v="117"/>
    <x v="111"/>
    <x v="114"/>
    <x v="2"/>
    <x v="1"/>
    <x v="0"/>
    <x v="0"/>
    <x v="17"/>
    <x v="59"/>
    <x v="0"/>
    <x v="2"/>
    <x v="37"/>
    <x v="4"/>
    <x v="4"/>
    <x v="5"/>
  </r>
  <r>
    <x v="4"/>
    <x v="26"/>
    <x v="1"/>
    <x v="118"/>
    <x v="112"/>
    <x v="54"/>
    <x v="1"/>
    <x v="0"/>
    <x v="1"/>
    <x v="0"/>
    <x v="17"/>
    <x v="56"/>
    <x v="3"/>
    <x v="2"/>
    <x v="28"/>
    <x v="0"/>
    <x v="1"/>
    <x v="9"/>
  </r>
  <r>
    <x v="1"/>
    <x v="19"/>
    <x v="1"/>
    <x v="119"/>
    <x v="113"/>
    <x v="115"/>
    <x v="4"/>
    <x v="3"/>
    <x v="0"/>
    <x v="0"/>
    <x v="44"/>
    <x v="60"/>
    <x v="1"/>
    <x v="2"/>
    <x v="6"/>
    <x v="6"/>
    <x v="5"/>
    <x v="0"/>
  </r>
  <r>
    <x v="3"/>
    <x v="16"/>
    <x v="1"/>
    <x v="120"/>
    <x v="114"/>
    <x v="116"/>
    <x v="1"/>
    <x v="0"/>
    <x v="0"/>
    <x v="0"/>
    <x v="35"/>
    <x v="61"/>
    <x v="3"/>
    <x v="2"/>
    <x v="17"/>
    <x v="5"/>
    <x v="1"/>
    <x v="5"/>
  </r>
  <r>
    <x v="0"/>
    <x v="22"/>
    <x v="1"/>
    <x v="121"/>
    <x v="115"/>
    <x v="117"/>
    <x v="4"/>
    <x v="1"/>
    <x v="0"/>
    <x v="0"/>
    <x v="17"/>
    <x v="39"/>
    <x v="1"/>
    <x v="1"/>
    <x v="10"/>
    <x v="9"/>
    <x v="3"/>
    <x v="0"/>
  </r>
  <r>
    <x v="4"/>
    <x v="22"/>
    <x v="0"/>
    <x v="122"/>
    <x v="116"/>
    <x v="118"/>
    <x v="0"/>
    <x v="0"/>
    <x v="0"/>
    <x v="0"/>
    <x v="37"/>
    <x v="49"/>
    <x v="0"/>
    <x v="1"/>
    <x v="34"/>
    <x v="6"/>
    <x v="3"/>
    <x v="2"/>
  </r>
  <r>
    <x v="0"/>
    <x v="28"/>
    <x v="0"/>
    <x v="123"/>
    <x v="117"/>
    <x v="119"/>
    <x v="0"/>
    <x v="1"/>
    <x v="2"/>
    <x v="0"/>
    <x v="24"/>
    <x v="33"/>
    <x v="0"/>
    <x v="4"/>
    <x v="5"/>
    <x v="5"/>
    <x v="1"/>
    <x v="7"/>
  </r>
  <r>
    <x v="0"/>
    <x v="19"/>
    <x v="0"/>
    <x v="124"/>
    <x v="118"/>
    <x v="120"/>
    <x v="1"/>
    <x v="2"/>
    <x v="2"/>
    <x v="1"/>
    <x v="3"/>
    <x v="56"/>
    <x v="2"/>
    <x v="6"/>
    <x v="3"/>
    <x v="10"/>
    <x v="2"/>
    <x v="8"/>
  </r>
  <r>
    <x v="2"/>
    <x v="5"/>
    <x v="1"/>
    <x v="125"/>
    <x v="119"/>
    <x v="121"/>
    <x v="0"/>
    <x v="0"/>
    <x v="1"/>
    <x v="0"/>
    <x v="29"/>
    <x v="6"/>
    <x v="2"/>
    <x v="6"/>
    <x v="26"/>
    <x v="0"/>
    <x v="2"/>
    <x v="4"/>
  </r>
  <r>
    <x v="2"/>
    <x v="26"/>
    <x v="0"/>
    <x v="126"/>
    <x v="120"/>
    <x v="122"/>
    <x v="1"/>
    <x v="2"/>
    <x v="1"/>
    <x v="1"/>
    <x v="14"/>
    <x v="62"/>
    <x v="0"/>
    <x v="3"/>
    <x v="21"/>
    <x v="6"/>
    <x v="4"/>
    <x v="7"/>
  </r>
  <r>
    <x v="1"/>
    <x v="17"/>
    <x v="0"/>
    <x v="127"/>
    <x v="121"/>
    <x v="123"/>
    <x v="2"/>
    <x v="0"/>
    <x v="1"/>
    <x v="0"/>
    <x v="26"/>
    <x v="44"/>
    <x v="4"/>
    <x v="3"/>
    <x v="15"/>
    <x v="8"/>
    <x v="0"/>
    <x v="8"/>
  </r>
  <r>
    <x v="1"/>
    <x v="11"/>
    <x v="1"/>
    <x v="128"/>
    <x v="122"/>
    <x v="124"/>
    <x v="3"/>
    <x v="0"/>
    <x v="1"/>
    <x v="0"/>
    <x v="45"/>
    <x v="23"/>
    <x v="3"/>
    <x v="3"/>
    <x v="18"/>
    <x v="7"/>
    <x v="0"/>
    <x v="1"/>
  </r>
  <r>
    <x v="0"/>
    <x v="28"/>
    <x v="0"/>
    <x v="129"/>
    <x v="123"/>
    <x v="125"/>
    <x v="3"/>
    <x v="1"/>
    <x v="0"/>
    <x v="0"/>
    <x v="30"/>
    <x v="8"/>
    <x v="1"/>
    <x v="4"/>
    <x v="12"/>
    <x v="10"/>
    <x v="4"/>
    <x v="3"/>
  </r>
  <r>
    <x v="1"/>
    <x v="2"/>
    <x v="0"/>
    <x v="130"/>
    <x v="124"/>
    <x v="126"/>
    <x v="0"/>
    <x v="2"/>
    <x v="2"/>
    <x v="1"/>
    <x v="27"/>
    <x v="7"/>
    <x v="0"/>
    <x v="3"/>
    <x v="16"/>
    <x v="3"/>
    <x v="4"/>
    <x v="3"/>
  </r>
  <r>
    <x v="1"/>
    <x v="23"/>
    <x v="0"/>
    <x v="131"/>
    <x v="125"/>
    <x v="127"/>
    <x v="1"/>
    <x v="3"/>
    <x v="0"/>
    <x v="1"/>
    <x v="31"/>
    <x v="15"/>
    <x v="2"/>
    <x v="3"/>
    <x v="23"/>
    <x v="7"/>
    <x v="4"/>
    <x v="3"/>
  </r>
  <r>
    <x v="0"/>
    <x v="20"/>
    <x v="0"/>
    <x v="132"/>
    <x v="126"/>
    <x v="128"/>
    <x v="4"/>
    <x v="3"/>
    <x v="0"/>
    <x v="0"/>
    <x v="16"/>
    <x v="28"/>
    <x v="5"/>
    <x v="3"/>
    <x v="17"/>
    <x v="3"/>
    <x v="4"/>
    <x v="2"/>
  </r>
  <r>
    <x v="4"/>
    <x v="5"/>
    <x v="0"/>
    <x v="133"/>
    <x v="127"/>
    <x v="129"/>
    <x v="3"/>
    <x v="3"/>
    <x v="1"/>
    <x v="1"/>
    <x v="2"/>
    <x v="51"/>
    <x v="0"/>
    <x v="3"/>
    <x v="22"/>
    <x v="6"/>
    <x v="6"/>
    <x v="5"/>
  </r>
  <r>
    <x v="0"/>
    <x v="2"/>
    <x v="0"/>
    <x v="134"/>
    <x v="128"/>
    <x v="130"/>
    <x v="3"/>
    <x v="2"/>
    <x v="2"/>
    <x v="0"/>
    <x v="30"/>
    <x v="38"/>
    <x v="5"/>
    <x v="0"/>
    <x v="23"/>
    <x v="11"/>
    <x v="6"/>
    <x v="1"/>
  </r>
  <r>
    <x v="1"/>
    <x v="2"/>
    <x v="0"/>
    <x v="135"/>
    <x v="129"/>
    <x v="131"/>
    <x v="4"/>
    <x v="1"/>
    <x v="2"/>
    <x v="0"/>
    <x v="29"/>
    <x v="60"/>
    <x v="3"/>
    <x v="0"/>
    <x v="27"/>
    <x v="2"/>
    <x v="3"/>
    <x v="6"/>
  </r>
  <r>
    <x v="2"/>
    <x v="24"/>
    <x v="1"/>
    <x v="136"/>
    <x v="130"/>
    <x v="132"/>
    <x v="2"/>
    <x v="2"/>
    <x v="0"/>
    <x v="0"/>
    <x v="24"/>
    <x v="37"/>
    <x v="0"/>
    <x v="5"/>
    <x v="26"/>
    <x v="6"/>
    <x v="4"/>
    <x v="1"/>
  </r>
  <r>
    <x v="2"/>
    <x v="23"/>
    <x v="0"/>
    <x v="137"/>
    <x v="131"/>
    <x v="110"/>
    <x v="4"/>
    <x v="3"/>
    <x v="2"/>
    <x v="0"/>
    <x v="41"/>
    <x v="56"/>
    <x v="2"/>
    <x v="3"/>
    <x v="0"/>
    <x v="9"/>
    <x v="1"/>
    <x v="1"/>
  </r>
  <r>
    <x v="4"/>
    <x v="10"/>
    <x v="0"/>
    <x v="138"/>
    <x v="132"/>
    <x v="133"/>
    <x v="0"/>
    <x v="3"/>
    <x v="1"/>
    <x v="1"/>
    <x v="10"/>
    <x v="15"/>
    <x v="5"/>
    <x v="4"/>
    <x v="33"/>
    <x v="9"/>
    <x v="6"/>
    <x v="3"/>
  </r>
  <r>
    <x v="1"/>
    <x v="0"/>
    <x v="0"/>
    <x v="139"/>
    <x v="133"/>
    <x v="134"/>
    <x v="3"/>
    <x v="2"/>
    <x v="2"/>
    <x v="1"/>
    <x v="12"/>
    <x v="47"/>
    <x v="3"/>
    <x v="5"/>
    <x v="14"/>
    <x v="7"/>
    <x v="4"/>
    <x v="5"/>
  </r>
  <r>
    <x v="2"/>
    <x v="6"/>
    <x v="0"/>
    <x v="140"/>
    <x v="134"/>
    <x v="135"/>
    <x v="4"/>
    <x v="1"/>
    <x v="2"/>
    <x v="0"/>
    <x v="13"/>
    <x v="27"/>
    <x v="2"/>
    <x v="3"/>
    <x v="29"/>
    <x v="6"/>
    <x v="4"/>
    <x v="9"/>
  </r>
  <r>
    <x v="2"/>
    <x v="6"/>
    <x v="1"/>
    <x v="141"/>
    <x v="135"/>
    <x v="136"/>
    <x v="4"/>
    <x v="0"/>
    <x v="1"/>
    <x v="1"/>
    <x v="46"/>
    <x v="63"/>
    <x v="1"/>
    <x v="2"/>
    <x v="21"/>
    <x v="0"/>
    <x v="6"/>
    <x v="3"/>
  </r>
  <r>
    <x v="4"/>
    <x v="26"/>
    <x v="1"/>
    <x v="142"/>
    <x v="136"/>
    <x v="137"/>
    <x v="1"/>
    <x v="1"/>
    <x v="0"/>
    <x v="0"/>
    <x v="4"/>
    <x v="40"/>
    <x v="3"/>
    <x v="3"/>
    <x v="6"/>
    <x v="5"/>
    <x v="1"/>
    <x v="1"/>
  </r>
  <r>
    <x v="0"/>
    <x v="8"/>
    <x v="0"/>
    <x v="143"/>
    <x v="89"/>
    <x v="138"/>
    <x v="3"/>
    <x v="3"/>
    <x v="2"/>
    <x v="0"/>
    <x v="26"/>
    <x v="50"/>
    <x v="0"/>
    <x v="3"/>
    <x v="27"/>
    <x v="0"/>
    <x v="6"/>
    <x v="7"/>
  </r>
  <r>
    <x v="1"/>
    <x v="7"/>
    <x v="0"/>
    <x v="144"/>
    <x v="137"/>
    <x v="139"/>
    <x v="4"/>
    <x v="3"/>
    <x v="2"/>
    <x v="1"/>
    <x v="31"/>
    <x v="20"/>
    <x v="0"/>
    <x v="4"/>
    <x v="35"/>
    <x v="4"/>
    <x v="4"/>
    <x v="4"/>
  </r>
  <r>
    <x v="1"/>
    <x v="15"/>
    <x v="0"/>
    <x v="145"/>
    <x v="138"/>
    <x v="140"/>
    <x v="4"/>
    <x v="0"/>
    <x v="2"/>
    <x v="1"/>
    <x v="6"/>
    <x v="64"/>
    <x v="3"/>
    <x v="3"/>
    <x v="13"/>
    <x v="11"/>
    <x v="0"/>
    <x v="6"/>
  </r>
  <r>
    <x v="4"/>
    <x v="21"/>
    <x v="1"/>
    <x v="146"/>
    <x v="139"/>
    <x v="141"/>
    <x v="0"/>
    <x v="3"/>
    <x v="1"/>
    <x v="0"/>
    <x v="21"/>
    <x v="48"/>
    <x v="1"/>
    <x v="4"/>
    <x v="4"/>
    <x v="5"/>
    <x v="5"/>
    <x v="1"/>
  </r>
  <r>
    <x v="0"/>
    <x v="4"/>
    <x v="1"/>
    <x v="147"/>
    <x v="140"/>
    <x v="142"/>
    <x v="4"/>
    <x v="2"/>
    <x v="1"/>
    <x v="0"/>
    <x v="3"/>
    <x v="64"/>
    <x v="2"/>
    <x v="4"/>
    <x v="35"/>
    <x v="3"/>
    <x v="6"/>
    <x v="1"/>
  </r>
  <r>
    <x v="0"/>
    <x v="8"/>
    <x v="1"/>
    <x v="148"/>
    <x v="141"/>
    <x v="143"/>
    <x v="0"/>
    <x v="2"/>
    <x v="0"/>
    <x v="0"/>
    <x v="7"/>
    <x v="27"/>
    <x v="0"/>
    <x v="2"/>
    <x v="3"/>
    <x v="9"/>
    <x v="4"/>
    <x v="6"/>
  </r>
  <r>
    <x v="4"/>
    <x v="14"/>
    <x v="0"/>
    <x v="149"/>
    <x v="142"/>
    <x v="144"/>
    <x v="2"/>
    <x v="3"/>
    <x v="2"/>
    <x v="0"/>
    <x v="30"/>
    <x v="11"/>
    <x v="0"/>
    <x v="2"/>
    <x v="12"/>
    <x v="11"/>
    <x v="4"/>
    <x v="5"/>
  </r>
  <r>
    <x v="1"/>
    <x v="19"/>
    <x v="1"/>
    <x v="150"/>
    <x v="143"/>
    <x v="145"/>
    <x v="2"/>
    <x v="1"/>
    <x v="1"/>
    <x v="0"/>
    <x v="9"/>
    <x v="56"/>
    <x v="3"/>
    <x v="1"/>
    <x v="4"/>
    <x v="0"/>
    <x v="0"/>
    <x v="2"/>
  </r>
  <r>
    <x v="0"/>
    <x v="16"/>
    <x v="0"/>
    <x v="151"/>
    <x v="89"/>
    <x v="146"/>
    <x v="3"/>
    <x v="2"/>
    <x v="2"/>
    <x v="0"/>
    <x v="29"/>
    <x v="45"/>
    <x v="0"/>
    <x v="2"/>
    <x v="31"/>
    <x v="0"/>
    <x v="6"/>
    <x v="0"/>
  </r>
  <r>
    <x v="4"/>
    <x v="11"/>
    <x v="0"/>
    <x v="152"/>
    <x v="144"/>
    <x v="46"/>
    <x v="2"/>
    <x v="2"/>
    <x v="1"/>
    <x v="1"/>
    <x v="11"/>
    <x v="12"/>
    <x v="2"/>
    <x v="0"/>
    <x v="1"/>
    <x v="6"/>
    <x v="2"/>
    <x v="9"/>
  </r>
  <r>
    <x v="1"/>
    <x v="28"/>
    <x v="1"/>
    <x v="153"/>
    <x v="94"/>
    <x v="147"/>
    <x v="1"/>
    <x v="0"/>
    <x v="2"/>
    <x v="0"/>
    <x v="38"/>
    <x v="40"/>
    <x v="4"/>
    <x v="1"/>
    <x v="20"/>
    <x v="10"/>
    <x v="1"/>
    <x v="7"/>
  </r>
  <r>
    <x v="0"/>
    <x v="6"/>
    <x v="0"/>
    <x v="154"/>
    <x v="145"/>
    <x v="148"/>
    <x v="0"/>
    <x v="0"/>
    <x v="0"/>
    <x v="0"/>
    <x v="34"/>
    <x v="27"/>
    <x v="5"/>
    <x v="3"/>
    <x v="1"/>
    <x v="4"/>
    <x v="3"/>
    <x v="7"/>
  </r>
  <r>
    <x v="0"/>
    <x v="1"/>
    <x v="0"/>
    <x v="155"/>
    <x v="146"/>
    <x v="149"/>
    <x v="4"/>
    <x v="1"/>
    <x v="2"/>
    <x v="1"/>
    <x v="39"/>
    <x v="34"/>
    <x v="0"/>
    <x v="6"/>
    <x v="32"/>
    <x v="3"/>
    <x v="5"/>
    <x v="6"/>
  </r>
  <r>
    <x v="4"/>
    <x v="27"/>
    <x v="1"/>
    <x v="156"/>
    <x v="147"/>
    <x v="150"/>
    <x v="0"/>
    <x v="1"/>
    <x v="2"/>
    <x v="0"/>
    <x v="21"/>
    <x v="65"/>
    <x v="1"/>
    <x v="6"/>
    <x v="12"/>
    <x v="9"/>
    <x v="5"/>
    <x v="3"/>
  </r>
  <r>
    <x v="1"/>
    <x v="21"/>
    <x v="1"/>
    <x v="157"/>
    <x v="148"/>
    <x v="151"/>
    <x v="0"/>
    <x v="3"/>
    <x v="0"/>
    <x v="1"/>
    <x v="13"/>
    <x v="31"/>
    <x v="5"/>
    <x v="2"/>
    <x v="28"/>
    <x v="9"/>
    <x v="2"/>
    <x v="1"/>
  </r>
  <r>
    <x v="1"/>
    <x v="0"/>
    <x v="1"/>
    <x v="158"/>
    <x v="149"/>
    <x v="152"/>
    <x v="1"/>
    <x v="0"/>
    <x v="2"/>
    <x v="0"/>
    <x v="38"/>
    <x v="63"/>
    <x v="5"/>
    <x v="2"/>
    <x v="28"/>
    <x v="10"/>
    <x v="6"/>
    <x v="3"/>
  </r>
  <r>
    <x v="0"/>
    <x v="11"/>
    <x v="1"/>
    <x v="159"/>
    <x v="150"/>
    <x v="153"/>
    <x v="1"/>
    <x v="1"/>
    <x v="1"/>
    <x v="0"/>
    <x v="20"/>
    <x v="0"/>
    <x v="2"/>
    <x v="5"/>
    <x v="37"/>
    <x v="11"/>
    <x v="0"/>
    <x v="9"/>
  </r>
  <r>
    <x v="0"/>
    <x v="25"/>
    <x v="0"/>
    <x v="160"/>
    <x v="151"/>
    <x v="111"/>
    <x v="4"/>
    <x v="1"/>
    <x v="1"/>
    <x v="1"/>
    <x v="32"/>
    <x v="38"/>
    <x v="1"/>
    <x v="4"/>
    <x v="17"/>
    <x v="0"/>
    <x v="1"/>
    <x v="2"/>
  </r>
  <r>
    <x v="0"/>
    <x v="13"/>
    <x v="1"/>
    <x v="161"/>
    <x v="100"/>
    <x v="154"/>
    <x v="1"/>
    <x v="0"/>
    <x v="2"/>
    <x v="1"/>
    <x v="1"/>
    <x v="66"/>
    <x v="3"/>
    <x v="2"/>
    <x v="20"/>
    <x v="10"/>
    <x v="4"/>
    <x v="2"/>
  </r>
  <r>
    <x v="0"/>
    <x v="3"/>
    <x v="1"/>
    <x v="162"/>
    <x v="152"/>
    <x v="155"/>
    <x v="0"/>
    <x v="3"/>
    <x v="1"/>
    <x v="1"/>
    <x v="15"/>
    <x v="19"/>
    <x v="4"/>
    <x v="6"/>
    <x v="26"/>
    <x v="4"/>
    <x v="6"/>
    <x v="3"/>
  </r>
  <r>
    <x v="4"/>
    <x v="19"/>
    <x v="0"/>
    <x v="163"/>
    <x v="46"/>
    <x v="156"/>
    <x v="1"/>
    <x v="1"/>
    <x v="0"/>
    <x v="1"/>
    <x v="37"/>
    <x v="66"/>
    <x v="1"/>
    <x v="6"/>
    <x v="10"/>
    <x v="8"/>
    <x v="2"/>
    <x v="6"/>
  </r>
  <r>
    <x v="0"/>
    <x v="8"/>
    <x v="0"/>
    <x v="164"/>
    <x v="153"/>
    <x v="157"/>
    <x v="3"/>
    <x v="3"/>
    <x v="2"/>
    <x v="1"/>
    <x v="42"/>
    <x v="63"/>
    <x v="1"/>
    <x v="4"/>
    <x v="7"/>
    <x v="8"/>
    <x v="3"/>
    <x v="2"/>
  </r>
  <r>
    <x v="4"/>
    <x v="25"/>
    <x v="1"/>
    <x v="165"/>
    <x v="154"/>
    <x v="158"/>
    <x v="0"/>
    <x v="2"/>
    <x v="2"/>
    <x v="0"/>
    <x v="4"/>
    <x v="40"/>
    <x v="1"/>
    <x v="4"/>
    <x v="37"/>
    <x v="7"/>
    <x v="4"/>
    <x v="8"/>
  </r>
  <r>
    <x v="2"/>
    <x v="5"/>
    <x v="1"/>
    <x v="166"/>
    <x v="155"/>
    <x v="159"/>
    <x v="1"/>
    <x v="2"/>
    <x v="0"/>
    <x v="1"/>
    <x v="22"/>
    <x v="67"/>
    <x v="1"/>
    <x v="5"/>
    <x v="5"/>
    <x v="10"/>
    <x v="0"/>
    <x v="2"/>
  </r>
  <r>
    <x v="1"/>
    <x v="4"/>
    <x v="0"/>
    <x v="167"/>
    <x v="156"/>
    <x v="160"/>
    <x v="2"/>
    <x v="3"/>
    <x v="2"/>
    <x v="1"/>
    <x v="5"/>
    <x v="55"/>
    <x v="5"/>
    <x v="5"/>
    <x v="33"/>
    <x v="6"/>
    <x v="1"/>
    <x v="2"/>
  </r>
  <r>
    <x v="0"/>
    <x v="18"/>
    <x v="1"/>
    <x v="168"/>
    <x v="157"/>
    <x v="139"/>
    <x v="0"/>
    <x v="1"/>
    <x v="2"/>
    <x v="1"/>
    <x v="9"/>
    <x v="15"/>
    <x v="2"/>
    <x v="4"/>
    <x v="26"/>
    <x v="10"/>
    <x v="1"/>
    <x v="0"/>
  </r>
  <r>
    <x v="4"/>
    <x v="28"/>
    <x v="0"/>
    <x v="169"/>
    <x v="158"/>
    <x v="52"/>
    <x v="2"/>
    <x v="1"/>
    <x v="1"/>
    <x v="1"/>
    <x v="40"/>
    <x v="51"/>
    <x v="0"/>
    <x v="4"/>
    <x v="32"/>
    <x v="9"/>
    <x v="3"/>
    <x v="5"/>
  </r>
  <r>
    <x v="1"/>
    <x v="23"/>
    <x v="0"/>
    <x v="170"/>
    <x v="159"/>
    <x v="161"/>
    <x v="0"/>
    <x v="2"/>
    <x v="2"/>
    <x v="1"/>
    <x v="0"/>
    <x v="37"/>
    <x v="2"/>
    <x v="6"/>
    <x v="30"/>
    <x v="7"/>
    <x v="5"/>
    <x v="1"/>
  </r>
  <r>
    <x v="4"/>
    <x v="4"/>
    <x v="0"/>
    <x v="171"/>
    <x v="160"/>
    <x v="161"/>
    <x v="4"/>
    <x v="0"/>
    <x v="0"/>
    <x v="1"/>
    <x v="29"/>
    <x v="51"/>
    <x v="1"/>
    <x v="3"/>
    <x v="3"/>
    <x v="10"/>
    <x v="6"/>
    <x v="2"/>
  </r>
  <r>
    <x v="2"/>
    <x v="2"/>
    <x v="1"/>
    <x v="172"/>
    <x v="161"/>
    <x v="75"/>
    <x v="4"/>
    <x v="3"/>
    <x v="1"/>
    <x v="1"/>
    <x v="10"/>
    <x v="46"/>
    <x v="3"/>
    <x v="1"/>
    <x v="11"/>
    <x v="4"/>
    <x v="5"/>
    <x v="4"/>
  </r>
  <r>
    <x v="0"/>
    <x v="10"/>
    <x v="1"/>
    <x v="173"/>
    <x v="162"/>
    <x v="162"/>
    <x v="3"/>
    <x v="0"/>
    <x v="2"/>
    <x v="0"/>
    <x v="33"/>
    <x v="20"/>
    <x v="3"/>
    <x v="3"/>
    <x v="15"/>
    <x v="0"/>
    <x v="3"/>
    <x v="3"/>
  </r>
  <r>
    <x v="1"/>
    <x v="1"/>
    <x v="1"/>
    <x v="174"/>
    <x v="60"/>
    <x v="163"/>
    <x v="4"/>
    <x v="2"/>
    <x v="0"/>
    <x v="1"/>
    <x v="20"/>
    <x v="68"/>
    <x v="5"/>
    <x v="3"/>
    <x v="33"/>
    <x v="1"/>
    <x v="0"/>
    <x v="9"/>
  </r>
  <r>
    <x v="2"/>
    <x v="0"/>
    <x v="1"/>
    <x v="175"/>
    <x v="163"/>
    <x v="128"/>
    <x v="0"/>
    <x v="2"/>
    <x v="0"/>
    <x v="1"/>
    <x v="6"/>
    <x v="45"/>
    <x v="4"/>
    <x v="1"/>
    <x v="27"/>
    <x v="11"/>
    <x v="5"/>
    <x v="5"/>
  </r>
  <r>
    <x v="4"/>
    <x v="7"/>
    <x v="0"/>
    <x v="176"/>
    <x v="164"/>
    <x v="164"/>
    <x v="3"/>
    <x v="0"/>
    <x v="0"/>
    <x v="0"/>
    <x v="28"/>
    <x v="2"/>
    <x v="3"/>
    <x v="1"/>
    <x v="14"/>
    <x v="3"/>
    <x v="3"/>
    <x v="5"/>
  </r>
  <r>
    <x v="1"/>
    <x v="28"/>
    <x v="0"/>
    <x v="177"/>
    <x v="165"/>
    <x v="165"/>
    <x v="0"/>
    <x v="1"/>
    <x v="2"/>
    <x v="0"/>
    <x v="5"/>
    <x v="2"/>
    <x v="1"/>
    <x v="4"/>
    <x v="36"/>
    <x v="1"/>
    <x v="1"/>
    <x v="2"/>
  </r>
  <r>
    <x v="1"/>
    <x v="3"/>
    <x v="0"/>
    <x v="178"/>
    <x v="166"/>
    <x v="166"/>
    <x v="4"/>
    <x v="1"/>
    <x v="0"/>
    <x v="0"/>
    <x v="26"/>
    <x v="32"/>
    <x v="5"/>
    <x v="6"/>
    <x v="20"/>
    <x v="3"/>
    <x v="1"/>
    <x v="5"/>
  </r>
  <r>
    <x v="1"/>
    <x v="29"/>
    <x v="1"/>
    <x v="179"/>
    <x v="167"/>
    <x v="167"/>
    <x v="0"/>
    <x v="3"/>
    <x v="1"/>
    <x v="1"/>
    <x v="36"/>
    <x v="40"/>
    <x v="1"/>
    <x v="1"/>
    <x v="22"/>
    <x v="3"/>
    <x v="3"/>
    <x v="8"/>
  </r>
  <r>
    <x v="1"/>
    <x v="6"/>
    <x v="0"/>
    <x v="180"/>
    <x v="168"/>
    <x v="168"/>
    <x v="0"/>
    <x v="2"/>
    <x v="0"/>
    <x v="1"/>
    <x v="42"/>
    <x v="47"/>
    <x v="0"/>
    <x v="2"/>
    <x v="10"/>
    <x v="1"/>
    <x v="2"/>
    <x v="1"/>
  </r>
  <r>
    <x v="0"/>
    <x v="26"/>
    <x v="0"/>
    <x v="181"/>
    <x v="169"/>
    <x v="169"/>
    <x v="2"/>
    <x v="2"/>
    <x v="2"/>
    <x v="0"/>
    <x v="15"/>
    <x v="23"/>
    <x v="5"/>
    <x v="6"/>
    <x v="18"/>
    <x v="3"/>
    <x v="5"/>
    <x v="4"/>
  </r>
  <r>
    <x v="1"/>
    <x v="24"/>
    <x v="0"/>
    <x v="182"/>
    <x v="170"/>
    <x v="170"/>
    <x v="2"/>
    <x v="0"/>
    <x v="0"/>
    <x v="1"/>
    <x v="33"/>
    <x v="36"/>
    <x v="2"/>
    <x v="6"/>
    <x v="14"/>
    <x v="10"/>
    <x v="6"/>
    <x v="2"/>
  </r>
  <r>
    <x v="1"/>
    <x v="16"/>
    <x v="0"/>
    <x v="183"/>
    <x v="171"/>
    <x v="171"/>
    <x v="2"/>
    <x v="0"/>
    <x v="1"/>
    <x v="1"/>
    <x v="37"/>
    <x v="43"/>
    <x v="4"/>
    <x v="1"/>
    <x v="25"/>
    <x v="4"/>
    <x v="1"/>
    <x v="8"/>
  </r>
  <r>
    <x v="2"/>
    <x v="3"/>
    <x v="1"/>
    <x v="184"/>
    <x v="172"/>
    <x v="63"/>
    <x v="3"/>
    <x v="1"/>
    <x v="2"/>
    <x v="1"/>
    <x v="35"/>
    <x v="69"/>
    <x v="5"/>
    <x v="2"/>
    <x v="23"/>
    <x v="5"/>
    <x v="6"/>
    <x v="2"/>
  </r>
  <r>
    <x v="2"/>
    <x v="14"/>
    <x v="1"/>
    <x v="185"/>
    <x v="173"/>
    <x v="172"/>
    <x v="3"/>
    <x v="3"/>
    <x v="2"/>
    <x v="0"/>
    <x v="21"/>
    <x v="35"/>
    <x v="3"/>
    <x v="5"/>
    <x v="11"/>
    <x v="9"/>
    <x v="1"/>
    <x v="2"/>
  </r>
  <r>
    <x v="1"/>
    <x v="18"/>
    <x v="0"/>
    <x v="186"/>
    <x v="94"/>
    <x v="173"/>
    <x v="2"/>
    <x v="2"/>
    <x v="2"/>
    <x v="1"/>
    <x v="29"/>
    <x v="18"/>
    <x v="0"/>
    <x v="4"/>
    <x v="31"/>
    <x v="10"/>
    <x v="1"/>
    <x v="3"/>
  </r>
  <r>
    <x v="0"/>
    <x v="18"/>
    <x v="0"/>
    <x v="187"/>
    <x v="174"/>
    <x v="174"/>
    <x v="1"/>
    <x v="1"/>
    <x v="1"/>
    <x v="0"/>
    <x v="27"/>
    <x v="62"/>
    <x v="3"/>
    <x v="1"/>
    <x v="27"/>
    <x v="4"/>
    <x v="3"/>
    <x v="2"/>
  </r>
  <r>
    <x v="2"/>
    <x v="0"/>
    <x v="0"/>
    <x v="188"/>
    <x v="175"/>
    <x v="175"/>
    <x v="1"/>
    <x v="0"/>
    <x v="2"/>
    <x v="0"/>
    <x v="2"/>
    <x v="52"/>
    <x v="2"/>
    <x v="6"/>
    <x v="3"/>
    <x v="3"/>
    <x v="3"/>
    <x v="4"/>
  </r>
  <r>
    <x v="0"/>
    <x v="9"/>
    <x v="1"/>
    <x v="189"/>
    <x v="176"/>
    <x v="176"/>
    <x v="4"/>
    <x v="2"/>
    <x v="1"/>
    <x v="1"/>
    <x v="46"/>
    <x v="56"/>
    <x v="3"/>
    <x v="0"/>
    <x v="9"/>
    <x v="1"/>
    <x v="6"/>
    <x v="9"/>
  </r>
  <r>
    <x v="2"/>
    <x v="4"/>
    <x v="1"/>
    <x v="190"/>
    <x v="47"/>
    <x v="177"/>
    <x v="4"/>
    <x v="2"/>
    <x v="0"/>
    <x v="1"/>
    <x v="22"/>
    <x v="70"/>
    <x v="1"/>
    <x v="0"/>
    <x v="31"/>
    <x v="9"/>
    <x v="5"/>
    <x v="5"/>
  </r>
  <r>
    <x v="0"/>
    <x v="13"/>
    <x v="1"/>
    <x v="191"/>
    <x v="146"/>
    <x v="178"/>
    <x v="4"/>
    <x v="3"/>
    <x v="2"/>
    <x v="1"/>
    <x v="33"/>
    <x v="13"/>
    <x v="1"/>
    <x v="2"/>
    <x v="0"/>
    <x v="3"/>
    <x v="5"/>
    <x v="7"/>
  </r>
  <r>
    <x v="2"/>
    <x v="25"/>
    <x v="1"/>
    <x v="192"/>
    <x v="177"/>
    <x v="179"/>
    <x v="0"/>
    <x v="1"/>
    <x v="0"/>
    <x v="0"/>
    <x v="41"/>
    <x v="55"/>
    <x v="1"/>
    <x v="4"/>
    <x v="12"/>
    <x v="0"/>
    <x v="2"/>
    <x v="2"/>
  </r>
  <r>
    <x v="2"/>
    <x v="6"/>
    <x v="1"/>
    <x v="193"/>
    <x v="178"/>
    <x v="180"/>
    <x v="1"/>
    <x v="2"/>
    <x v="2"/>
    <x v="1"/>
    <x v="43"/>
    <x v="6"/>
    <x v="0"/>
    <x v="3"/>
    <x v="15"/>
    <x v="7"/>
    <x v="6"/>
    <x v="6"/>
  </r>
  <r>
    <x v="1"/>
    <x v="9"/>
    <x v="0"/>
    <x v="194"/>
    <x v="179"/>
    <x v="181"/>
    <x v="0"/>
    <x v="3"/>
    <x v="1"/>
    <x v="1"/>
    <x v="2"/>
    <x v="65"/>
    <x v="5"/>
    <x v="6"/>
    <x v="12"/>
    <x v="3"/>
    <x v="4"/>
    <x v="3"/>
  </r>
  <r>
    <x v="0"/>
    <x v="23"/>
    <x v="1"/>
    <x v="195"/>
    <x v="106"/>
    <x v="182"/>
    <x v="4"/>
    <x v="3"/>
    <x v="0"/>
    <x v="1"/>
    <x v="15"/>
    <x v="0"/>
    <x v="0"/>
    <x v="2"/>
    <x v="37"/>
    <x v="8"/>
    <x v="1"/>
    <x v="4"/>
  </r>
  <r>
    <x v="1"/>
    <x v="21"/>
    <x v="0"/>
    <x v="196"/>
    <x v="180"/>
    <x v="173"/>
    <x v="2"/>
    <x v="1"/>
    <x v="2"/>
    <x v="1"/>
    <x v="21"/>
    <x v="67"/>
    <x v="0"/>
    <x v="0"/>
    <x v="35"/>
    <x v="1"/>
    <x v="4"/>
    <x v="7"/>
  </r>
  <r>
    <x v="1"/>
    <x v="16"/>
    <x v="0"/>
    <x v="197"/>
    <x v="181"/>
    <x v="183"/>
    <x v="0"/>
    <x v="1"/>
    <x v="0"/>
    <x v="1"/>
    <x v="22"/>
    <x v="63"/>
    <x v="3"/>
    <x v="5"/>
    <x v="31"/>
    <x v="7"/>
    <x v="3"/>
    <x v="7"/>
  </r>
  <r>
    <x v="4"/>
    <x v="3"/>
    <x v="1"/>
    <x v="198"/>
    <x v="182"/>
    <x v="184"/>
    <x v="3"/>
    <x v="3"/>
    <x v="2"/>
    <x v="1"/>
    <x v="7"/>
    <x v="8"/>
    <x v="4"/>
    <x v="3"/>
    <x v="35"/>
    <x v="2"/>
    <x v="1"/>
    <x v="6"/>
  </r>
  <r>
    <x v="4"/>
    <x v="6"/>
    <x v="0"/>
    <x v="199"/>
    <x v="183"/>
    <x v="185"/>
    <x v="4"/>
    <x v="1"/>
    <x v="1"/>
    <x v="1"/>
    <x v="15"/>
    <x v="62"/>
    <x v="0"/>
    <x v="2"/>
    <x v="23"/>
    <x v="10"/>
    <x v="4"/>
    <x v="8"/>
  </r>
  <r>
    <x v="2"/>
    <x v="18"/>
    <x v="1"/>
    <x v="200"/>
    <x v="184"/>
    <x v="186"/>
    <x v="3"/>
    <x v="2"/>
    <x v="0"/>
    <x v="0"/>
    <x v="29"/>
    <x v="11"/>
    <x v="2"/>
    <x v="6"/>
    <x v="30"/>
    <x v="6"/>
    <x v="3"/>
    <x v="4"/>
  </r>
  <r>
    <x v="1"/>
    <x v="13"/>
    <x v="1"/>
    <x v="201"/>
    <x v="185"/>
    <x v="187"/>
    <x v="3"/>
    <x v="3"/>
    <x v="2"/>
    <x v="0"/>
    <x v="32"/>
    <x v="67"/>
    <x v="1"/>
    <x v="6"/>
    <x v="8"/>
    <x v="5"/>
    <x v="6"/>
    <x v="5"/>
  </r>
  <r>
    <x v="4"/>
    <x v="21"/>
    <x v="1"/>
    <x v="202"/>
    <x v="186"/>
    <x v="188"/>
    <x v="1"/>
    <x v="2"/>
    <x v="2"/>
    <x v="1"/>
    <x v="21"/>
    <x v="48"/>
    <x v="0"/>
    <x v="1"/>
    <x v="22"/>
    <x v="10"/>
    <x v="6"/>
    <x v="2"/>
  </r>
  <r>
    <x v="1"/>
    <x v="1"/>
    <x v="1"/>
    <x v="203"/>
    <x v="187"/>
    <x v="189"/>
    <x v="0"/>
    <x v="0"/>
    <x v="2"/>
    <x v="0"/>
    <x v="33"/>
    <x v="71"/>
    <x v="5"/>
    <x v="5"/>
    <x v="34"/>
    <x v="3"/>
    <x v="2"/>
    <x v="5"/>
  </r>
  <r>
    <x v="2"/>
    <x v="14"/>
    <x v="0"/>
    <x v="204"/>
    <x v="188"/>
    <x v="190"/>
    <x v="1"/>
    <x v="3"/>
    <x v="0"/>
    <x v="0"/>
    <x v="40"/>
    <x v="40"/>
    <x v="3"/>
    <x v="6"/>
    <x v="8"/>
    <x v="11"/>
    <x v="0"/>
    <x v="0"/>
  </r>
  <r>
    <x v="0"/>
    <x v="25"/>
    <x v="1"/>
    <x v="205"/>
    <x v="189"/>
    <x v="191"/>
    <x v="1"/>
    <x v="1"/>
    <x v="1"/>
    <x v="0"/>
    <x v="9"/>
    <x v="1"/>
    <x v="1"/>
    <x v="0"/>
    <x v="35"/>
    <x v="11"/>
    <x v="1"/>
    <x v="5"/>
  </r>
  <r>
    <x v="2"/>
    <x v="12"/>
    <x v="1"/>
    <x v="206"/>
    <x v="190"/>
    <x v="192"/>
    <x v="4"/>
    <x v="3"/>
    <x v="1"/>
    <x v="1"/>
    <x v="20"/>
    <x v="1"/>
    <x v="4"/>
    <x v="6"/>
    <x v="26"/>
    <x v="4"/>
    <x v="2"/>
    <x v="1"/>
  </r>
  <r>
    <x v="2"/>
    <x v="29"/>
    <x v="0"/>
    <x v="207"/>
    <x v="191"/>
    <x v="193"/>
    <x v="0"/>
    <x v="3"/>
    <x v="2"/>
    <x v="0"/>
    <x v="31"/>
    <x v="48"/>
    <x v="2"/>
    <x v="2"/>
    <x v="22"/>
    <x v="5"/>
    <x v="1"/>
    <x v="9"/>
  </r>
  <r>
    <x v="4"/>
    <x v="29"/>
    <x v="0"/>
    <x v="208"/>
    <x v="15"/>
    <x v="194"/>
    <x v="3"/>
    <x v="0"/>
    <x v="0"/>
    <x v="1"/>
    <x v="11"/>
    <x v="8"/>
    <x v="4"/>
    <x v="3"/>
    <x v="20"/>
    <x v="0"/>
    <x v="0"/>
    <x v="0"/>
  </r>
  <r>
    <x v="4"/>
    <x v="5"/>
    <x v="0"/>
    <x v="209"/>
    <x v="147"/>
    <x v="195"/>
    <x v="0"/>
    <x v="1"/>
    <x v="1"/>
    <x v="1"/>
    <x v="43"/>
    <x v="72"/>
    <x v="2"/>
    <x v="0"/>
    <x v="7"/>
    <x v="9"/>
    <x v="5"/>
    <x v="1"/>
  </r>
  <r>
    <x v="2"/>
    <x v="24"/>
    <x v="1"/>
    <x v="210"/>
    <x v="192"/>
    <x v="196"/>
    <x v="0"/>
    <x v="0"/>
    <x v="0"/>
    <x v="0"/>
    <x v="35"/>
    <x v="49"/>
    <x v="3"/>
    <x v="1"/>
    <x v="24"/>
    <x v="8"/>
    <x v="4"/>
    <x v="2"/>
  </r>
  <r>
    <x v="1"/>
    <x v="14"/>
    <x v="0"/>
    <x v="211"/>
    <x v="193"/>
    <x v="197"/>
    <x v="2"/>
    <x v="0"/>
    <x v="0"/>
    <x v="1"/>
    <x v="13"/>
    <x v="40"/>
    <x v="5"/>
    <x v="3"/>
    <x v="21"/>
    <x v="6"/>
    <x v="4"/>
    <x v="2"/>
  </r>
  <r>
    <x v="4"/>
    <x v="21"/>
    <x v="1"/>
    <x v="212"/>
    <x v="194"/>
    <x v="198"/>
    <x v="1"/>
    <x v="3"/>
    <x v="1"/>
    <x v="0"/>
    <x v="16"/>
    <x v="23"/>
    <x v="0"/>
    <x v="3"/>
    <x v="13"/>
    <x v="8"/>
    <x v="6"/>
    <x v="9"/>
  </r>
  <r>
    <x v="4"/>
    <x v="12"/>
    <x v="1"/>
    <x v="213"/>
    <x v="195"/>
    <x v="141"/>
    <x v="3"/>
    <x v="0"/>
    <x v="2"/>
    <x v="0"/>
    <x v="47"/>
    <x v="70"/>
    <x v="3"/>
    <x v="5"/>
    <x v="24"/>
    <x v="0"/>
    <x v="6"/>
    <x v="0"/>
  </r>
  <r>
    <x v="1"/>
    <x v="4"/>
    <x v="0"/>
    <x v="214"/>
    <x v="196"/>
    <x v="199"/>
    <x v="3"/>
    <x v="2"/>
    <x v="1"/>
    <x v="0"/>
    <x v="42"/>
    <x v="4"/>
    <x v="4"/>
    <x v="6"/>
    <x v="11"/>
    <x v="0"/>
    <x v="1"/>
    <x v="5"/>
  </r>
  <r>
    <x v="3"/>
    <x v="2"/>
    <x v="0"/>
    <x v="215"/>
    <x v="197"/>
    <x v="200"/>
    <x v="1"/>
    <x v="3"/>
    <x v="1"/>
    <x v="1"/>
    <x v="45"/>
    <x v="56"/>
    <x v="4"/>
    <x v="1"/>
    <x v="17"/>
    <x v="5"/>
    <x v="6"/>
    <x v="3"/>
  </r>
  <r>
    <x v="4"/>
    <x v="16"/>
    <x v="0"/>
    <x v="216"/>
    <x v="198"/>
    <x v="201"/>
    <x v="2"/>
    <x v="2"/>
    <x v="0"/>
    <x v="0"/>
    <x v="16"/>
    <x v="1"/>
    <x v="3"/>
    <x v="2"/>
    <x v="34"/>
    <x v="4"/>
    <x v="0"/>
    <x v="2"/>
  </r>
  <r>
    <x v="2"/>
    <x v="27"/>
    <x v="1"/>
    <x v="217"/>
    <x v="199"/>
    <x v="202"/>
    <x v="0"/>
    <x v="2"/>
    <x v="2"/>
    <x v="1"/>
    <x v="30"/>
    <x v="13"/>
    <x v="0"/>
    <x v="6"/>
    <x v="6"/>
    <x v="8"/>
    <x v="1"/>
    <x v="3"/>
  </r>
  <r>
    <x v="2"/>
    <x v="26"/>
    <x v="1"/>
    <x v="218"/>
    <x v="200"/>
    <x v="203"/>
    <x v="4"/>
    <x v="2"/>
    <x v="1"/>
    <x v="0"/>
    <x v="17"/>
    <x v="19"/>
    <x v="4"/>
    <x v="3"/>
    <x v="18"/>
    <x v="11"/>
    <x v="2"/>
    <x v="7"/>
  </r>
  <r>
    <x v="2"/>
    <x v="8"/>
    <x v="1"/>
    <x v="219"/>
    <x v="201"/>
    <x v="204"/>
    <x v="2"/>
    <x v="1"/>
    <x v="0"/>
    <x v="1"/>
    <x v="15"/>
    <x v="36"/>
    <x v="1"/>
    <x v="4"/>
    <x v="5"/>
    <x v="4"/>
    <x v="1"/>
    <x v="7"/>
  </r>
  <r>
    <x v="4"/>
    <x v="15"/>
    <x v="0"/>
    <x v="220"/>
    <x v="202"/>
    <x v="133"/>
    <x v="4"/>
    <x v="3"/>
    <x v="2"/>
    <x v="0"/>
    <x v="31"/>
    <x v="51"/>
    <x v="0"/>
    <x v="0"/>
    <x v="22"/>
    <x v="11"/>
    <x v="6"/>
    <x v="8"/>
  </r>
  <r>
    <x v="4"/>
    <x v="13"/>
    <x v="0"/>
    <x v="221"/>
    <x v="203"/>
    <x v="205"/>
    <x v="3"/>
    <x v="2"/>
    <x v="1"/>
    <x v="1"/>
    <x v="14"/>
    <x v="65"/>
    <x v="3"/>
    <x v="1"/>
    <x v="15"/>
    <x v="5"/>
    <x v="2"/>
    <x v="3"/>
  </r>
  <r>
    <x v="2"/>
    <x v="12"/>
    <x v="0"/>
    <x v="222"/>
    <x v="204"/>
    <x v="206"/>
    <x v="0"/>
    <x v="2"/>
    <x v="1"/>
    <x v="0"/>
    <x v="2"/>
    <x v="23"/>
    <x v="5"/>
    <x v="4"/>
    <x v="33"/>
    <x v="10"/>
    <x v="3"/>
    <x v="6"/>
  </r>
  <r>
    <x v="4"/>
    <x v="20"/>
    <x v="0"/>
    <x v="223"/>
    <x v="205"/>
    <x v="207"/>
    <x v="0"/>
    <x v="0"/>
    <x v="0"/>
    <x v="0"/>
    <x v="27"/>
    <x v="44"/>
    <x v="4"/>
    <x v="0"/>
    <x v="33"/>
    <x v="3"/>
    <x v="1"/>
    <x v="8"/>
  </r>
  <r>
    <x v="4"/>
    <x v="18"/>
    <x v="0"/>
    <x v="224"/>
    <x v="206"/>
    <x v="18"/>
    <x v="0"/>
    <x v="3"/>
    <x v="1"/>
    <x v="0"/>
    <x v="4"/>
    <x v="62"/>
    <x v="5"/>
    <x v="4"/>
    <x v="29"/>
    <x v="10"/>
    <x v="6"/>
    <x v="9"/>
  </r>
  <r>
    <x v="1"/>
    <x v="13"/>
    <x v="1"/>
    <x v="225"/>
    <x v="207"/>
    <x v="208"/>
    <x v="3"/>
    <x v="1"/>
    <x v="0"/>
    <x v="0"/>
    <x v="1"/>
    <x v="48"/>
    <x v="1"/>
    <x v="1"/>
    <x v="27"/>
    <x v="8"/>
    <x v="0"/>
    <x v="6"/>
  </r>
  <r>
    <x v="3"/>
    <x v="25"/>
    <x v="1"/>
    <x v="226"/>
    <x v="208"/>
    <x v="209"/>
    <x v="4"/>
    <x v="2"/>
    <x v="0"/>
    <x v="0"/>
    <x v="25"/>
    <x v="13"/>
    <x v="0"/>
    <x v="2"/>
    <x v="12"/>
    <x v="5"/>
    <x v="4"/>
    <x v="8"/>
  </r>
  <r>
    <x v="4"/>
    <x v="3"/>
    <x v="1"/>
    <x v="227"/>
    <x v="209"/>
    <x v="210"/>
    <x v="1"/>
    <x v="0"/>
    <x v="1"/>
    <x v="0"/>
    <x v="0"/>
    <x v="31"/>
    <x v="0"/>
    <x v="6"/>
    <x v="29"/>
    <x v="4"/>
    <x v="2"/>
    <x v="8"/>
  </r>
  <r>
    <x v="0"/>
    <x v="21"/>
    <x v="1"/>
    <x v="228"/>
    <x v="210"/>
    <x v="211"/>
    <x v="2"/>
    <x v="0"/>
    <x v="0"/>
    <x v="0"/>
    <x v="45"/>
    <x v="73"/>
    <x v="2"/>
    <x v="6"/>
    <x v="22"/>
    <x v="5"/>
    <x v="5"/>
    <x v="9"/>
  </r>
  <r>
    <x v="1"/>
    <x v="3"/>
    <x v="0"/>
    <x v="229"/>
    <x v="138"/>
    <x v="212"/>
    <x v="1"/>
    <x v="0"/>
    <x v="1"/>
    <x v="0"/>
    <x v="44"/>
    <x v="58"/>
    <x v="5"/>
    <x v="6"/>
    <x v="5"/>
    <x v="11"/>
    <x v="0"/>
    <x v="6"/>
  </r>
  <r>
    <x v="4"/>
    <x v="16"/>
    <x v="1"/>
    <x v="230"/>
    <x v="211"/>
    <x v="213"/>
    <x v="4"/>
    <x v="1"/>
    <x v="2"/>
    <x v="0"/>
    <x v="24"/>
    <x v="13"/>
    <x v="5"/>
    <x v="2"/>
    <x v="15"/>
    <x v="10"/>
    <x v="3"/>
    <x v="6"/>
  </r>
  <r>
    <x v="2"/>
    <x v="7"/>
    <x v="0"/>
    <x v="231"/>
    <x v="212"/>
    <x v="92"/>
    <x v="3"/>
    <x v="0"/>
    <x v="2"/>
    <x v="1"/>
    <x v="3"/>
    <x v="61"/>
    <x v="5"/>
    <x v="6"/>
    <x v="28"/>
    <x v="4"/>
    <x v="0"/>
    <x v="2"/>
  </r>
  <r>
    <x v="0"/>
    <x v="26"/>
    <x v="0"/>
    <x v="232"/>
    <x v="213"/>
    <x v="214"/>
    <x v="3"/>
    <x v="2"/>
    <x v="2"/>
    <x v="0"/>
    <x v="1"/>
    <x v="28"/>
    <x v="4"/>
    <x v="4"/>
    <x v="0"/>
    <x v="5"/>
    <x v="1"/>
    <x v="5"/>
  </r>
  <r>
    <x v="0"/>
    <x v="14"/>
    <x v="0"/>
    <x v="233"/>
    <x v="214"/>
    <x v="214"/>
    <x v="2"/>
    <x v="0"/>
    <x v="1"/>
    <x v="1"/>
    <x v="22"/>
    <x v="17"/>
    <x v="2"/>
    <x v="1"/>
    <x v="21"/>
    <x v="10"/>
    <x v="6"/>
    <x v="7"/>
  </r>
  <r>
    <x v="4"/>
    <x v="20"/>
    <x v="0"/>
    <x v="234"/>
    <x v="215"/>
    <x v="170"/>
    <x v="2"/>
    <x v="2"/>
    <x v="1"/>
    <x v="1"/>
    <x v="29"/>
    <x v="19"/>
    <x v="2"/>
    <x v="0"/>
    <x v="15"/>
    <x v="9"/>
    <x v="4"/>
    <x v="6"/>
  </r>
  <r>
    <x v="0"/>
    <x v="26"/>
    <x v="0"/>
    <x v="235"/>
    <x v="216"/>
    <x v="163"/>
    <x v="4"/>
    <x v="1"/>
    <x v="1"/>
    <x v="1"/>
    <x v="10"/>
    <x v="30"/>
    <x v="2"/>
    <x v="3"/>
    <x v="3"/>
    <x v="10"/>
    <x v="5"/>
    <x v="1"/>
  </r>
  <r>
    <x v="0"/>
    <x v="18"/>
    <x v="1"/>
    <x v="236"/>
    <x v="217"/>
    <x v="215"/>
    <x v="4"/>
    <x v="0"/>
    <x v="0"/>
    <x v="1"/>
    <x v="25"/>
    <x v="34"/>
    <x v="1"/>
    <x v="1"/>
    <x v="12"/>
    <x v="7"/>
    <x v="1"/>
    <x v="2"/>
  </r>
  <r>
    <x v="1"/>
    <x v="26"/>
    <x v="0"/>
    <x v="237"/>
    <x v="65"/>
    <x v="216"/>
    <x v="1"/>
    <x v="3"/>
    <x v="0"/>
    <x v="1"/>
    <x v="1"/>
    <x v="70"/>
    <x v="1"/>
    <x v="2"/>
    <x v="1"/>
    <x v="7"/>
    <x v="2"/>
    <x v="4"/>
  </r>
  <r>
    <x v="0"/>
    <x v="9"/>
    <x v="1"/>
    <x v="238"/>
    <x v="218"/>
    <x v="217"/>
    <x v="2"/>
    <x v="3"/>
    <x v="2"/>
    <x v="0"/>
    <x v="45"/>
    <x v="51"/>
    <x v="2"/>
    <x v="5"/>
    <x v="5"/>
    <x v="0"/>
    <x v="0"/>
    <x v="5"/>
  </r>
  <r>
    <x v="1"/>
    <x v="28"/>
    <x v="1"/>
    <x v="239"/>
    <x v="219"/>
    <x v="218"/>
    <x v="4"/>
    <x v="3"/>
    <x v="2"/>
    <x v="1"/>
    <x v="1"/>
    <x v="10"/>
    <x v="4"/>
    <x v="3"/>
    <x v="18"/>
    <x v="7"/>
    <x v="3"/>
    <x v="4"/>
  </r>
  <r>
    <x v="2"/>
    <x v="26"/>
    <x v="0"/>
    <x v="240"/>
    <x v="130"/>
    <x v="219"/>
    <x v="3"/>
    <x v="1"/>
    <x v="2"/>
    <x v="0"/>
    <x v="10"/>
    <x v="27"/>
    <x v="0"/>
    <x v="0"/>
    <x v="36"/>
    <x v="6"/>
    <x v="4"/>
    <x v="2"/>
  </r>
  <r>
    <x v="0"/>
    <x v="2"/>
    <x v="0"/>
    <x v="241"/>
    <x v="220"/>
    <x v="71"/>
    <x v="2"/>
    <x v="0"/>
    <x v="1"/>
    <x v="1"/>
    <x v="8"/>
    <x v="47"/>
    <x v="3"/>
    <x v="0"/>
    <x v="32"/>
    <x v="10"/>
    <x v="6"/>
    <x v="8"/>
  </r>
  <r>
    <x v="4"/>
    <x v="12"/>
    <x v="0"/>
    <x v="242"/>
    <x v="221"/>
    <x v="220"/>
    <x v="2"/>
    <x v="3"/>
    <x v="1"/>
    <x v="1"/>
    <x v="24"/>
    <x v="51"/>
    <x v="1"/>
    <x v="1"/>
    <x v="26"/>
    <x v="5"/>
    <x v="0"/>
    <x v="8"/>
  </r>
  <r>
    <x v="2"/>
    <x v="25"/>
    <x v="1"/>
    <x v="243"/>
    <x v="222"/>
    <x v="221"/>
    <x v="1"/>
    <x v="3"/>
    <x v="1"/>
    <x v="0"/>
    <x v="24"/>
    <x v="33"/>
    <x v="0"/>
    <x v="5"/>
    <x v="20"/>
    <x v="2"/>
    <x v="3"/>
    <x v="5"/>
  </r>
  <r>
    <x v="4"/>
    <x v="2"/>
    <x v="0"/>
    <x v="244"/>
    <x v="223"/>
    <x v="222"/>
    <x v="0"/>
    <x v="0"/>
    <x v="2"/>
    <x v="0"/>
    <x v="38"/>
    <x v="74"/>
    <x v="2"/>
    <x v="5"/>
    <x v="10"/>
    <x v="1"/>
    <x v="0"/>
    <x v="1"/>
  </r>
  <r>
    <x v="2"/>
    <x v="19"/>
    <x v="0"/>
    <x v="245"/>
    <x v="224"/>
    <x v="223"/>
    <x v="1"/>
    <x v="1"/>
    <x v="2"/>
    <x v="1"/>
    <x v="20"/>
    <x v="15"/>
    <x v="0"/>
    <x v="2"/>
    <x v="13"/>
    <x v="9"/>
    <x v="0"/>
    <x v="1"/>
  </r>
  <r>
    <x v="2"/>
    <x v="24"/>
    <x v="0"/>
    <x v="246"/>
    <x v="225"/>
    <x v="224"/>
    <x v="3"/>
    <x v="3"/>
    <x v="1"/>
    <x v="0"/>
    <x v="36"/>
    <x v="62"/>
    <x v="1"/>
    <x v="1"/>
    <x v="21"/>
    <x v="10"/>
    <x v="4"/>
    <x v="3"/>
  </r>
  <r>
    <x v="4"/>
    <x v="1"/>
    <x v="0"/>
    <x v="247"/>
    <x v="226"/>
    <x v="225"/>
    <x v="2"/>
    <x v="3"/>
    <x v="2"/>
    <x v="0"/>
    <x v="38"/>
    <x v="49"/>
    <x v="2"/>
    <x v="4"/>
    <x v="29"/>
    <x v="0"/>
    <x v="3"/>
    <x v="6"/>
  </r>
  <r>
    <x v="1"/>
    <x v="27"/>
    <x v="0"/>
    <x v="248"/>
    <x v="227"/>
    <x v="226"/>
    <x v="0"/>
    <x v="2"/>
    <x v="0"/>
    <x v="0"/>
    <x v="31"/>
    <x v="11"/>
    <x v="5"/>
    <x v="5"/>
    <x v="29"/>
    <x v="8"/>
    <x v="2"/>
    <x v="9"/>
  </r>
  <r>
    <x v="4"/>
    <x v="7"/>
    <x v="0"/>
    <x v="249"/>
    <x v="92"/>
    <x v="227"/>
    <x v="1"/>
    <x v="0"/>
    <x v="2"/>
    <x v="1"/>
    <x v="47"/>
    <x v="63"/>
    <x v="5"/>
    <x v="2"/>
    <x v="31"/>
    <x v="2"/>
    <x v="1"/>
    <x v="5"/>
  </r>
  <r>
    <x v="0"/>
    <x v="14"/>
    <x v="0"/>
    <x v="250"/>
    <x v="228"/>
    <x v="228"/>
    <x v="2"/>
    <x v="0"/>
    <x v="2"/>
    <x v="0"/>
    <x v="29"/>
    <x v="27"/>
    <x v="0"/>
    <x v="1"/>
    <x v="14"/>
    <x v="2"/>
    <x v="0"/>
    <x v="6"/>
  </r>
  <r>
    <x v="2"/>
    <x v="0"/>
    <x v="1"/>
    <x v="251"/>
    <x v="229"/>
    <x v="39"/>
    <x v="4"/>
    <x v="2"/>
    <x v="2"/>
    <x v="0"/>
    <x v="2"/>
    <x v="51"/>
    <x v="4"/>
    <x v="0"/>
    <x v="22"/>
    <x v="1"/>
    <x v="4"/>
    <x v="7"/>
  </r>
  <r>
    <x v="1"/>
    <x v="4"/>
    <x v="1"/>
    <x v="252"/>
    <x v="230"/>
    <x v="194"/>
    <x v="2"/>
    <x v="1"/>
    <x v="1"/>
    <x v="0"/>
    <x v="23"/>
    <x v="33"/>
    <x v="0"/>
    <x v="0"/>
    <x v="28"/>
    <x v="0"/>
    <x v="4"/>
    <x v="4"/>
  </r>
  <r>
    <x v="2"/>
    <x v="26"/>
    <x v="1"/>
    <x v="253"/>
    <x v="231"/>
    <x v="229"/>
    <x v="4"/>
    <x v="1"/>
    <x v="2"/>
    <x v="0"/>
    <x v="23"/>
    <x v="25"/>
    <x v="3"/>
    <x v="3"/>
    <x v="31"/>
    <x v="7"/>
    <x v="0"/>
    <x v="0"/>
  </r>
  <r>
    <x v="1"/>
    <x v="27"/>
    <x v="1"/>
    <x v="254"/>
    <x v="232"/>
    <x v="230"/>
    <x v="3"/>
    <x v="1"/>
    <x v="2"/>
    <x v="1"/>
    <x v="22"/>
    <x v="40"/>
    <x v="1"/>
    <x v="1"/>
    <x v="36"/>
    <x v="3"/>
    <x v="3"/>
    <x v="3"/>
  </r>
  <r>
    <x v="2"/>
    <x v="25"/>
    <x v="1"/>
    <x v="255"/>
    <x v="233"/>
    <x v="231"/>
    <x v="1"/>
    <x v="0"/>
    <x v="0"/>
    <x v="1"/>
    <x v="39"/>
    <x v="48"/>
    <x v="3"/>
    <x v="1"/>
    <x v="24"/>
    <x v="5"/>
    <x v="3"/>
    <x v="0"/>
  </r>
  <r>
    <x v="2"/>
    <x v="16"/>
    <x v="1"/>
    <x v="256"/>
    <x v="234"/>
    <x v="232"/>
    <x v="1"/>
    <x v="2"/>
    <x v="0"/>
    <x v="0"/>
    <x v="43"/>
    <x v="65"/>
    <x v="1"/>
    <x v="5"/>
    <x v="16"/>
    <x v="11"/>
    <x v="6"/>
    <x v="3"/>
  </r>
  <r>
    <x v="1"/>
    <x v="22"/>
    <x v="0"/>
    <x v="257"/>
    <x v="235"/>
    <x v="90"/>
    <x v="4"/>
    <x v="0"/>
    <x v="0"/>
    <x v="0"/>
    <x v="13"/>
    <x v="8"/>
    <x v="4"/>
    <x v="3"/>
    <x v="12"/>
    <x v="2"/>
    <x v="1"/>
    <x v="7"/>
  </r>
  <r>
    <x v="2"/>
    <x v="14"/>
    <x v="1"/>
    <x v="258"/>
    <x v="236"/>
    <x v="233"/>
    <x v="3"/>
    <x v="3"/>
    <x v="2"/>
    <x v="0"/>
    <x v="6"/>
    <x v="64"/>
    <x v="2"/>
    <x v="2"/>
    <x v="6"/>
    <x v="8"/>
    <x v="6"/>
    <x v="2"/>
  </r>
  <r>
    <x v="0"/>
    <x v="9"/>
    <x v="1"/>
    <x v="259"/>
    <x v="237"/>
    <x v="234"/>
    <x v="4"/>
    <x v="2"/>
    <x v="0"/>
    <x v="0"/>
    <x v="33"/>
    <x v="15"/>
    <x v="4"/>
    <x v="6"/>
    <x v="10"/>
    <x v="8"/>
    <x v="5"/>
    <x v="0"/>
  </r>
  <r>
    <x v="0"/>
    <x v="8"/>
    <x v="0"/>
    <x v="260"/>
    <x v="238"/>
    <x v="235"/>
    <x v="0"/>
    <x v="1"/>
    <x v="0"/>
    <x v="0"/>
    <x v="32"/>
    <x v="34"/>
    <x v="2"/>
    <x v="2"/>
    <x v="36"/>
    <x v="5"/>
    <x v="4"/>
    <x v="1"/>
  </r>
  <r>
    <x v="4"/>
    <x v="24"/>
    <x v="1"/>
    <x v="261"/>
    <x v="239"/>
    <x v="41"/>
    <x v="2"/>
    <x v="3"/>
    <x v="2"/>
    <x v="0"/>
    <x v="28"/>
    <x v="65"/>
    <x v="0"/>
    <x v="4"/>
    <x v="31"/>
    <x v="6"/>
    <x v="1"/>
    <x v="9"/>
  </r>
  <r>
    <x v="1"/>
    <x v="4"/>
    <x v="0"/>
    <x v="262"/>
    <x v="83"/>
    <x v="236"/>
    <x v="0"/>
    <x v="2"/>
    <x v="1"/>
    <x v="0"/>
    <x v="11"/>
    <x v="25"/>
    <x v="3"/>
    <x v="6"/>
    <x v="16"/>
    <x v="4"/>
    <x v="6"/>
    <x v="7"/>
  </r>
  <r>
    <x v="4"/>
    <x v="24"/>
    <x v="1"/>
    <x v="263"/>
    <x v="240"/>
    <x v="237"/>
    <x v="0"/>
    <x v="0"/>
    <x v="0"/>
    <x v="1"/>
    <x v="3"/>
    <x v="59"/>
    <x v="0"/>
    <x v="5"/>
    <x v="8"/>
    <x v="10"/>
    <x v="5"/>
    <x v="7"/>
  </r>
  <r>
    <x v="3"/>
    <x v="29"/>
    <x v="1"/>
    <x v="264"/>
    <x v="241"/>
    <x v="238"/>
    <x v="1"/>
    <x v="3"/>
    <x v="2"/>
    <x v="0"/>
    <x v="40"/>
    <x v="75"/>
    <x v="0"/>
    <x v="2"/>
    <x v="33"/>
    <x v="2"/>
    <x v="2"/>
    <x v="1"/>
  </r>
  <r>
    <x v="0"/>
    <x v="12"/>
    <x v="0"/>
    <x v="265"/>
    <x v="242"/>
    <x v="239"/>
    <x v="2"/>
    <x v="1"/>
    <x v="0"/>
    <x v="1"/>
    <x v="38"/>
    <x v="75"/>
    <x v="4"/>
    <x v="0"/>
    <x v="3"/>
    <x v="4"/>
    <x v="1"/>
    <x v="9"/>
  </r>
  <r>
    <x v="4"/>
    <x v="26"/>
    <x v="0"/>
    <x v="266"/>
    <x v="243"/>
    <x v="240"/>
    <x v="4"/>
    <x v="2"/>
    <x v="2"/>
    <x v="1"/>
    <x v="17"/>
    <x v="74"/>
    <x v="0"/>
    <x v="6"/>
    <x v="5"/>
    <x v="9"/>
    <x v="0"/>
    <x v="8"/>
  </r>
  <r>
    <x v="2"/>
    <x v="11"/>
    <x v="0"/>
    <x v="267"/>
    <x v="244"/>
    <x v="241"/>
    <x v="2"/>
    <x v="3"/>
    <x v="0"/>
    <x v="1"/>
    <x v="40"/>
    <x v="58"/>
    <x v="3"/>
    <x v="6"/>
    <x v="5"/>
    <x v="10"/>
    <x v="5"/>
    <x v="8"/>
  </r>
  <r>
    <x v="4"/>
    <x v="12"/>
    <x v="1"/>
    <x v="268"/>
    <x v="245"/>
    <x v="242"/>
    <x v="3"/>
    <x v="1"/>
    <x v="2"/>
    <x v="1"/>
    <x v="21"/>
    <x v="57"/>
    <x v="4"/>
    <x v="5"/>
    <x v="18"/>
    <x v="9"/>
    <x v="6"/>
    <x v="0"/>
  </r>
  <r>
    <x v="1"/>
    <x v="13"/>
    <x v="1"/>
    <x v="269"/>
    <x v="165"/>
    <x v="243"/>
    <x v="4"/>
    <x v="3"/>
    <x v="0"/>
    <x v="1"/>
    <x v="39"/>
    <x v="27"/>
    <x v="5"/>
    <x v="4"/>
    <x v="19"/>
    <x v="1"/>
    <x v="1"/>
    <x v="5"/>
  </r>
  <r>
    <x v="4"/>
    <x v="19"/>
    <x v="0"/>
    <x v="270"/>
    <x v="246"/>
    <x v="122"/>
    <x v="2"/>
    <x v="3"/>
    <x v="1"/>
    <x v="1"/>
    <x v="29"/>
    <x v="38"/>
    <x v="4"/>
    <x v="1"/>
    <x v="20"/>
    <x v="5"/>
    <x v="4"/>
    <x v="5"/>
  </r>
  <r>
    <x v="2"/>
    <x v="21"/>
    <x v="0"/>
    <x v="271"/>
    <x v="247"/>
    <x v="244"/>
    <x v="2"/>
    <x v="1"/>
    <x v="0"/>
    <x v="0"/>
    <x v="8"/>
    <x v="67"/>
    <x v="1"/>
    <x v="2"/>
    <x v="16"/>
    <x v="1"/>
    <x v="3"/>
    <x v="1"/>
  </r>
  <r>
    <x v="1"/>
    <x v="0"/>
    <x v="1"/>
    <x v="272"/>
    <x v="248"/>
    <x v="245"/>
    <x v="1"/>
    <x v="3"/>
    <x v="1"/>
    <x v="0"/>
    <x v="34"/>
    <x v="45"/>
    <x v="4"/>
    <x v="6"/>
    <x v="9"/>
    <x v="4"/>
    <x v="2"/>
    <x v="9"/>
  </r>
  <r>
    <x v="3"/>
    <x v="0"/>
    <x v="0"/>
    <x v="273"/>
    <x v="249"/>
    <x v="246"/>
    <x v="1"/>
    <x v="1"/>
    <x v="2"/>
    <x v="1"/>
    <x v="7"/>
    <x v="32"/>
    <x v="0"/>
    <x v="6"/>
    <x v="16"/>
    <x v="2"/>
    <x v="4"/>
    <x v="5"/>
  </r>
  <r>
    <x v="1"/>
    <x v="5"/>
    <x v="1"/>
    <x v="274"/>
    <x v="250"/>
    <x v="247"/>
    <x v="2"/>
    <x v="2"/>
    <x v="2"/>
    <x v="0"/>
    <x v="33"/>
    <x v="18"/>
    <x v="4"/>
    <x v="4"/>
    <x v="7"/>
    <x v="9"/>
    <x v="2"/>
    <x v="7"/>
  </r>
  <r>
    <x v="0"/>
    <x v="15"/>
    <x v="0"/>
    <x v="275"/>
    <x v="251"/>
    <x v="248"/>
    <x v="3"/>
    <x v="1"/>
    <x v="0"/>
    <x v="0"/>
    <x v="28"/>
    <x v="41"/>
    <x v="1"/>
    <x v="3"/>
    <x v="25"/>
    <x v="6"/>
    <x v="4"/>
    <x v="0"/>
  </r>
  <r>
    <x v="2"/>
    <x v="11"/>
    <x v="1"/>
    <x v="276"/>
    <x v="252"/>
    <x v="249"/>
    <x v="1"/>
    <x v="2"/>
    <x v="2"/>
    <x v="0"/>
    <x v="39"/>
    <x v="48"/>
    <x v="2"/>
    <x v="2"/>
    <x v="19"/>
    <x v="1"/>
    <x v="5"/>
    <x v="1"/>
  </r>
  <r>
    <x v="0"/>
    <x v="10"/>
    <x v="1"/>
    <x v="277"/>
    <x v="253"/>
    <x v="250"/>
    <x v="2"/>
    <x v="0"/>
    <x v="1"/>
    <x v="0"/>
    <x v="36"/>
    <x v="29"/>
    <x v="4"/>
    <x v="1"/>
    <x v="12"/>
    <x v="11"/>
    <x v="4"/>
    <x v="8"/>
  </r>
  <r>
    <x v="0"/>
    <x v="24"/>
    <x v="1"/>
    <x v="278"/>
    <x v="254"/>
    <x v="227"/>
    <x v="4"/>
    <x v="1"/>
    <x v="2"/>
    <x v="1"/>
    <x v="37"/>
    <x v="0"/>
    <x v="5"/>
    <x v="1"/>
    <x v="37"/>
    <x v="2"/>
    <x v="3"/>
    <x v="8"/>
  </r>
  <r>
    <x v="2"/>
    <x v="10"/>
    <x v="0"/>
    <x v="279"/>
    <x v="255"/>
    <x v="251"/>
    <x v="3"/>
    <x v="0"/>
    <x v="0"/>
    <x v="0"/>
    <x v="41"/>
    <x v="53"/>
    <x v="5"/>
    <x v="1"/>
    <x v="2"/>
    <x v="7"/>
    <x v="1"/>
    <x v="4"/>
  </r>
  <r>
    <x v="1"/>
    <x v="26"/>
    <x v="1"/>
    <x v="280"/>
    <x v="256"/>
    <x v="252"/>
    <x v="3"/>
    <x v="3"/>
    <x v="0"/>
    <x v="1"/>
    <x v="4"/>
    <x v="55"/>
    <x v="4"/>
    <x v="3"/>
    <x v="20"/>
    <x v="10"/>
    <x v="4"/>
    <x v="7"/>
  </r>
  <r>
    <x v="1"/>
    <x v="16"/>
    <x v="0"/>
    <x v="281"/>
    <x v="187"/>
    <x v="5"/>
    <x v="4"/>
    <x v="0"/>
    <x v="2"/>
    <x v="0"/>
    <x v="31"/>
    <x v="19"/>
    <x v="5"/>
    <x v="4"/>
    <x v="21"/>
    <x v="3"/>
    <x v="2"/>
    <x v="1"/>
  </r>
  <r>
    <x v="2"/>
    <x v="11"/>
    <x v="0"/>
    <x v="282"/>
    <x v="257"/>
    <x v="253"/>
    <x v="0"/>
    <x v="2"/>
    <x v="1"/>
    <x v="1"/>
    <x v="36"/>
    <x v="9"/>
    <x v="0"/>
    <x v="5"/>
    <x v="36"/>
    <x v="7"/>
    <x v="6"/>
    <x v="4"/>
  </r>
  <r>
    <x v="4"/>
    <x v="9"/>
    <x v="0"/>
    <x v="283"/>
    <x v="202"/>
    <x v="254"/>
    <x v="4"/>
    <x v="3"/>
    <x v="1"/>
    <x v="0"/>
    <x v="20"/>
    <x v="49"/>
    <x v="4"/>
    <x v="2"/>
    <x v="32"/>
    <x v="11"/>
    <x v="6"/>
    <x v="9"/>
  </r>
  <r>
    <x v="1"/>
    <x v="0"/>
    <x v="1"/>
    <x v="284"/>
    <x v="258"/>
    <x v="255"/>
    <x v="2"/>
    <x v="1"/>
    <x v="2"/>
    <x v="0"/>
    <x v="37"/>
    <x v="56"/>
    <x v="3"/>
    <x v="1"/>
    <x v="19"/>
    <x v="3"/>
    <x v="3"/>
    <x v="2"/>
  </r>
  <r>
    <x v="2"/>
    <x v="20"/>
    <x v="0"/>
    <x v="285"/>
    <x v="259"/>
    <x v="256"/>
    <x v="4"/>
    <x v="1"/>
    <x v="0"/>
    <x v="0"/>
    <x v="38"/>
    <x v="67"/>
    <x v="2"/>
    <x v="5"/>
    <x v="23"/>
    <x v="5"/>
    <x v="6"/>
    <x v="9"/>
  </r>
  <r>
    <x v="1"/>
    <x v="21"/>
    <x v="0"/>
    <x v="286"/>
    <x v="260"/>
    <x v="257"/>
    <x v="3"/>
    <x v="0"/>
    <x v="2"/>
    <x v="1"/>
    <x v="8"/>
    <x v="35"/>
    <x v="4"/>
    <x v="4"/>
    <x v="36"/>
    <x v="0"/>
    <x v="5"/>
    <x v="3"/>
  </r>
  <r>
    <x v="2"/>
    <x v="9"/>
    <x v="0"/>
    <x v="287"/>
    <x v="261"/>
    <x v="258"/>
    <x v="4"/>
    <x v="2"/>
    <x v="1"/>
    <x v="0"/>
    <x v="28"/>
    <x v="63"/>
    <x v="5"/>
    <x v="5"/>
    <x v="2"/>
    <x v="5"/>
    <x v="1"/>
    <x v="3"/>
  </r>
  <r>
    <x v="2"/>
    <x v="4"/>
    <x v="1"/>
    <x v="288"/>
    <x v="262"/>
    <x v="139"/>
    <x v="2"/>
    <x v="1"/>
    <x v="1"/>
    <x v="0"/>
    <x v="35"/>
    <x v="38"/>
    <x v="4"/>
    <x v="6"/>
    <x v="10"/>
    <x v="3"/>
    <x v="6"/>
    <x v="4"/>
  </r>
  <r>
    <x v="4"/>
    <x v="24"/>
    <x v="1"/>
    <x v="289"/>
    <x v="263"/>
    <x v="259"/>
    <x v="0"/>
    <x v="0"/>
    <x v="1"/>
    <x v="0"/>
    <x v="27"/>
    <x v="76"/>
    <x v="2"/>
    <x v="5"/>
    <x v="34"/>
    <x v="8"/>
    <x v="0"/>
    <x v="6"/>
  </r>
  <r>
    <x v="0"/>
    <x v="17"/>
    <x v="0"/>
    <x v="290"/>
    <x v="264"/>
    <x v="260"/>
    <x v="0"/>
    <x v="2"/>
    <x v="2"/>
    <x v="1"/>
    <x v="32"/>
    <x v="18"/>
    <x v="0"/>
    <x v="3"/>
    <x v="36"/>
    <x v="10"/>
    <x v="3"/>
    <x v="2"/>
  </r>
  <r>
    <x v="4"/>
    <x v="15"/>
    <x v="1"/>
    <x v="291"/>
    <x v="265"/>
    <x v="261"/>
    <x v="3"/>
    <x v="1"/>
    <x v="1"/>
    <x v="1"/>
    <x v="19"/>
    <x v="48"/>
    <x v="5"/>
    <x v="1"/>
    <x v="9"/>
    <x v="5"/>
    <x v="1"/>
    <x v="7"/>
  </r>
  <r>
    <x v="2"/>
    <x v="5"/>
    <x v="1"/>
    <x v="292"/>
    <x v="266"/>
    <x v="262"/>
    <x v="0"/>
    <x v="3"/>
    <x v="0"/>
    <x v="1"/>
    <x v="44"/>
    <x v="77"/>
    <x v="0"/>
    <x v="6"/>
    <x v="15"/>
    <x v="3"/>
    <x v="2"/>
    <x v="3"/>
  </r>
  <r>
    <x v="0"/>
    <x v="5"/>
    <x v="0"/>
    <x v="293"/>
    <x v="267"/>
    <x v="263"/>
    <x v="2"/>
    <x v="0"/>
    <x v="0"/>
    <x v="0"/>
    <x v="42"/>
    <x v="73"/>
    <x v="0"/>
    <x v="1"/>
    <x v="18"/>
    <x v="3"/>
    <x v="1"/>
    <x v="3"/>
  </r>
  <r>
    <x v="4"/>
    <x v="15"/>
    <x v="0"/>
    <x v="294"/>
    <x v="268"/>
    <x v="264"/>
    <x v="3"/>
    <x v="1"/>
    <x v="1"/>
    <x v="0"/>
    <x v="42"/>
    <x v="68"/>
    <x v="5"/>
    <x v="2"/>
    <x v="16"/>
    <x v="7"/>
    <x v="4"/>
    <x v="8"/>
  </r>
  <r>
    <x v="1"/>
    <x v="12"/>
    <x v="0"/>
    <x v="295"/>
    <x v="269"/>
    <x v="265"/>
    <x v="3"/>
    <x v="1"/>
    <x v="2"/>
    <x v="0"/>
    <x v="40"/>
    <x v="29"/>
    <x v="2"/>
    <x v="6"/>
    <x v="30"/>
    <x v="8"/>
    <x v="1"/>
    <x v="4"/>
  </r>
  <r>
    <x v="1"/>
    <x v="25"/>
    <x v="1"/>
    <x v="296"/>
    <x v="270"/>
    <x v="266"/>
    <x v="3"/>
    <x v="2"/>
    <x v="1"/>
    <x v="1"/>
    <x v="41"/>
    <x v="73"/>
    <x v="2"/>
    <x v="6"/>
    <x v="32"/>
    <x v="3"/>
    <x v="3"/>
    <x v="7"/>
  </r>
  <r>
    <x v="0"/>
    <x v="4"/>
    <x v="1"/>
    <x v="297"/>
    <x v="271"/>
    <x v="267"/>
    <x v="2"/>
    <x v="0"/>
    <x v="2"/>
    <x v="1"/>
    <x v="10"/>
    <x v="6"/>
    <x v="1"/>
    <x v="4"/>
    <x v="37"/>
    <x v="3"/>
    <x v="5"/>
    <x v="1"/>
  </r>
  <r>
    <x v="0"/>
    <x v="12"/>
    <x v="0"/>
    <x v="298"/>
    <x v="272"/>
    <x v="235"/>
    <x v="4"/>
    <x v="2"/>
    <x v="1"/>
    <x v="0"/>
    <x v="35"/>
    <x v="39"/>
    <x v="5"/>
    <x v="4"/>
    <x v="26"/>
    <x v="11"/>
    <x v="3"/>
    <x v="2"/>
  </r>
  <r>
    <x v="0"/>
    <x v="18"/>
    <x v="1"/>
    <x v="299"/>
    <x v="273"/>
    <x v="268"/>
    <x v="3"/>
    <x v="1"/>
    <x v="1"/>
    <x v="1"/>
    <x v="25"/>
    <x v="27"/>
    <x v="5"/>
    <x v="3"/>
    <x v="7"/>
    <x v="4"/>
    <x v="0"/>
    <x v="1"/>
  </r>
  <r>
    <x v="1"/>
    <x v="29"/>
    <x v="1"/>
    <x v="300"/>
    <x v="49"/>
    <x v="134"/>
    <x v="1"/>
    <x v="3"/>
    <x v="0"/>
    <x v="1"/>
    <x v="2"/>
    <x v="69"/>
    <x v="4"/>
    <x v="4"/>
    <x v="24"/>
    <x v="6"/>
    <x v="5"/>
    <x v="0"/>
  </r>
  <r>
    <x v="4"/>
    <x v="29"/>
    <x v="0"/>
    <x v="301"/>
    <x v="274"/>
    <x v="269"/>
    <x v="2"/>
    <x v="2"/>
    <x v="1"/>
    <x v="0"/>
    <x v="19"/>
    <x v="24"/>
    <x v="2"/>
    <x v="6"/>
    <x v="30"/>
    <x v="11"/>
    <x v="3"/>
    <x v="6"/>
  </r>
  <r>
    <x v="4"/>
    <x v="19"/>
    <x v="1"/>
    <x v="302"/>
    <x v="203"/>
    <x v="178"/>
    <x v="3"/>
    <x v="2"/>
    <x v="1"/>
    <x v="1"/>
    <x v="47"/>
    <x v="78"/>
    <x v="1"/>
    <x v="6"/>
    <x v="37"/>
    <x v="5"/>
    <x v="2"/>
    <x v="5"/>
  </r>
  <r>
    <x v="2"/>
    <x v="28"/>
    <x v="0"/>
    <x v="303"/>
    <x v="275"/>
    <x v="270"/>
    <x v="1"/>
    <x v="3"/>
    <x v="0"/>
    <x v="1"/>
    <x v="30"/>
    <x v="33"/>
    <x v="2"/>
    <x v="1"/>
    <x v="28"/>
    <x v="8"/>
    <x v="3"/>
    <x v="7"/>
  </r>
  <r>
    <x v="4"/>
    <x v="22"/>
    <x v="1"/>
    <x v="304"/>
    <x v="53"/>
    <x v="271"/>
    <x v="4"/>
    <x v="0"/>
    <x v="2"/>
    <x v="1"/>
    <x v="47"/>
    <x v="32"/>
    <x v="5"/>
    <x v="6"/>
    <x v="31"/>
    <x v="10"/>
    <x v="0"/>
    <x v="5"/>
  </r>
  <r>
    <x v="4"/>
    <x v="26"/>
    <x v="0"/>
    <x v="305"/>
    <x v="276"/>
    <x v="272"/>
    <x v="0"/>
    <x v="2"/>
    <x v="1"/>
    <x v="1"/>
    <x v="46"/>
    <x v="28"/>
    <x v="4"/>
    <x v="1"/>
    <x v="12"/>
    <x v="11"/>
    <x v="0"/>
    <x v="3"/>
  </r>
  <r>
    <x v="2"/>
    <x v="12"/>
    <x v="1"/>
    <x v="306"/>
    <x v="277"/>
    <x v="273"/>
    <x v="4"/>
    <x v="3"/>
    <x v="2"/>
    <x v="0"/>
    <x v="37"/>
    <x v="45"/>
    <x v="1"/>
    <x v="2"/>
    <x v="17"/>
    <x v="7"/>
    <x v="4"/>
    <x v="7"/>
  </r>
  <r>
    <x v="0"/>
    <x v="9"/>
    <x v="0"/>
    <x v="307"/>
    <x v="278"/>
    <x v="274"/>
    <x v="0"/>
    <x v="2"/>
    <x v="2"/>
    <x v="1"/>
    <x v="38"/>
    <x v="23"/>
    <x v="5"/>
    <x v="5"/>
    <x v="3"/>
    <x v="4"/>
    <x v="1"/>
    <x v="2"/>
  </r>
  <r>
    <x v="4"/>
    <x v="20"/>
    <x v="0"/>
    <x v="308"/>
    <x v="279"/>
    <x v="252"/>
    <x v="4"/>
    <x v="3"/>
    <x v="1"/>
    <x v="1"/>
    <x v="23"/>
    <x v="78"/>
    <x v="2"/>
    <x v="3"/>
    <x v="10"/>
    <x v="6"/>
    <x v="4"/>
    <x v="6"/>
  </r>
  <r>
    <x v="0"/>
    <x v="18"/>
    <x v="0"/>
    <x v="309"/>
    <x v="280"/>
    <x v="146"/>
    <x v="3"/>
    <x v="2"/>
    <x v="1"/>
    <x v="0"/>
    <x v="18"/>
    <x v="75"/>
    <x v="5"/>
    <x v="0"/>
    <x v="13"/>
    <x v="2"/>
    <x v="5"/>
    <x v="4"/>
  </r>
  <r>
    <x v="1"/>
    <x v="7"/>
    <x v="0"/>
    <x v="310"/>
    <x v="83"/>
    <x v="77"/>
    <x v="3"/>
    <x v="3"/>
    <x v="0"/>
    <x v="1"/>
    <x v="37"/>
    <x v="11"/>
    <x v="3"/>
    <x v="5"/>
    <x v="4"/>
    <x v="4"/>
    <x v="6"/>
    <x v="9"/>
  </r>
  <r>
    <x v="4"/>
    <x v="9"/>
    <x v="0"/>
    <x v="311"/>
    <x v="281"/>
    <x v="275"/>
    <x v="2"/>
    <x v="0"/>
    <x v="1"/>
    <x v="1"/>
    <x v="39"/>
    <x v="55"/>
    <x v="4"/>
    <x v="5"/>
    <x v="30"/>
    <x v="10"/>
    <x v="5"/>
    <x v="0"/>
  </r>
  <r>
    <x v="0"/>
    <x v="28"/>
    <x v="0"/>
    <x v="312"/>
    <x v="278"/>
    <x v="276"/>
    <x v="1"/>
    <x v="3"/>
    <x v="1"/>
    <x v="1"/>
    <x v="45"/>
    <x v="37"/>
    <x v="3"/>
    <x v="2"/>
    <x v="9"/>
    <x v="4"/>
    <x v="1"/>
    <x v="4"/>
  </r>
  <r>
    <x v="2"/>
    <x v="17"/>
    <x v="0"/>
    <x v="313"/>
    <x v="134"/>
    <x v="34"/>
    <x v="1"/>
    <x v="3"/>
    <x v="2"/>
    <x v="1"/>
    <x v="40"/>
    <x v="29"/>
    <x v="2"/>
    <x v="6"/>
    <x v="3"/>
    <x v="6"/>
    <x v="4"/>
    <x v="0"/>
  </r>
  <r>
    <x v="4"/>
    <x v="6"/>
    <x v="0"/>
    <x v="314"/>
    <x v="239"/>
    <x v="23"/>
    <x v="3"/>
    <x v="2"/>
    <x v="0"/>
    <x v="0"/>
    <x v="3"/>
    <x v="24"/>
    <x v="1"/>
    <x v="4"/>
    <x v="5"/>
    <x v="6"/>
    <x v="1"/>
    <x v="9"/>
  </r>
  <r>
    <x v="2"/>
    <x v="2"/>
    <x v="0"/>
    <x v="315"/>
    <x v="282"/>
    <x v="58"/>
    <x v="3"/>
    <x v="0"/>
    <x v="0"/>
    <x v="0"/>
    <x v="8"/>
    <x v="22"/>
    <x v="5"/>
    <x v="2"/>
    <x v="5"/>
    <x v="11"/>
    <x v="0"/>
    <x v="3"/>
  </r>
  <r>
    <x v="2"/>
    <x v="20"/>
    <x v="1"/>
    <x v="316"/>
    <x v="283"/>
    <x v="277"/>
    <x v="0"/>
    <x v="0"/>
    <x v="2"/>
    <x v="0"/>
    <x v="46"/>
    <x v="41"/>
    <x v="3"/>
    <x v="1"/>
    <x v="36"/>
    <x v="11"/>
    <x v="3"/>
    <x v="8"/>
  </r>
  <r>
    <x v="4"/>
    <x v="19"/>
    <x v="0"/>
    <x v="317"/>
    <x v="284"/>
    <x v="278"/>
    <x v="4"/>
    <x v="1"/>
    <x v="1"/>
    <x v="0"/>
    <x v="21"/>
    <x v="53"/>
    <x v="5"/>
    <x v="1"/>
    <x v="19"/>
    <x v="4"/>
    <x v="4"/>
    <x v="6"/>
  </r>
  <r>
    <x v="0"/>
    <x v="28"/>
    <x v="1"/>
    <x v="318"/>
    <x v="285"/>
    <x v="88"/>
    <x v="1"/>
    <x v="0"/>
    <x v="1"/>
    <x v="0"/>
    <x v="7"/>
    <x v="38"/>
    <x v="2"/>
    <x v="3"/>
    <x v="0"/>
    <x v="3"/>
    <x v="0"/>
    <x v="4"/>
  </r>
  <r>
    <x v="4"/>
    <x v="17"/>
    <x v="1"/>
    <x v="319"/>
    <x v="265"/>
    <x v="119"/>
    <x v="0"/>
    <x v="1"/>
    <x v="0"/>
    <x v="1"/>
    <x v="16"/>
    <x v="19"/>
    <x v="4"/>
    <x v="1"/>
    <x v="36"/>
    <x v="5"/>
    <x v="1"/>
    <x v="1"/>
  </r>
  <r>
    <x v="2"/>
    <x v="0"/>
    <x v="1"/>
    <x v="320"/>
    <x v="8"/>
    <x v="279"/>
    <x v="0"/>
    <x v="3"/>
    <x v="1"/>
    <x v="1"/>
    <x v="16"/>
    <x v="4"/>
    <x v="0"/>
    <x v="0"/>
    <x v="14"/>
    <x v="1"/>
    <x v="0"/>
    <x v="2"/>
  </r>
  <r>
    <x v="4"/>
    <x v="24"/>
    <x v="0"/>
    <x v="321"/>
    <x v="147"/>
    <x v="280"/>
    <x v="2"/>
    <x v="3"/>
    <x v="1"/>
    <x v="1"/>
    <x v="38"/>
    <x v="31"/>
    <x v="3"/>
    <x v="6"/>
    <x v="34"/>
    <x v="9"/>
    <x v="5"/>
    <x v="2"/>
  </r>
  <r>
    <x v="0"/>
    <x v="0"/>
    <x v="0"/>
    <x v="322"/>
    <x v="286"/>
    <x v="281"/>
    <x v="4"/>
    <x v="1"/>
    <x v="0"/>
    <x v="1"/>
    <x v="28"/>
    <x v="51"/>
    <x v="4"/>
    <x v="2"/>
    <x v="36"/>
    <x v="6"/>
    <x v="5"/>
    <x v="0"/>
  </r>
  <r>
    <x v="1"/>
    <x v="16"/>
    <x v="0"/>
    <x v="323"/>
    <x v="287"/>
    <x v="282"/>
    <x v="0"/>
    <x v="2"/>
    <x v="1"/>
    <x v="0"/>
    <x v="11"/>
    <x v="21"/>
    <x v="0"/>
    <x v="4"/>
    <x v="7"/>
    <x v="8"/>
    <x v="3"/>
    <x v="7"/>
  </r>
  <r>
    <x v="2"/>
    <x v="2"/>
    <x v="0"/>
    <x v="324"/>
    <x v="288"/>
    <x v="283"/>
    <x v="1"/>
    <x v="1"/>
    <x v="2"/>
    <x v="1"/>
    <x v="20"/>
    <x v="5"/>
    <x v="2"/>
    <x v="3"/>
    <x v="23"/>
    <x v="2"/>
    <x v="3"/>
    <x v="2"/>
  </r>
  <r>
    <x v="0"/>
    <x v="28"/>
    <x v="1"/>
    <x v="325"/>
    <x v="289"/>
    <x v="284"/>
    <x v="0"/>
    <x v="0"/>
    <x v="1"/>
    <x v="1"/>
    <x v="19"/>
    <x v="8"/>
    <x v="2"/>
    <x v="5"/>
    <x v="37"/>
    <x v="9"/>
    <x v="4"/>
    <x v="8"/>
  </r>
  <r>
    <x v="2"/>
    <x v="24"/>
    <x v="0"/>
    <x v="326"/>
    <x v="290"/>
    <x v="285"/>
    <x v="4"/>
    <x v="3"/>
    <x v="0"/>
    <x v="0"/>
    <x v="6"/>
    <x v="73"/>
    <x v="2"/>
    <x v="4"/>
    <x v="2"/>
    <x v="4"/>
    <x v="6"/>
    <x v="7"/>
  </r>
  <r>
    <x v="0"/>
    <x v="6"/>
    <x v="1"/>
    <x v="327"/>
    <x v="291"/>
    <x v="286"/>
    <x v="4"/>
    <x v="1"/>
    <x v="0"/>
    <x v="1"/>
    <x v="25"/>
    <x v="34"/>
    <x v="1"/>
    <x v="0"/>
    <x v="13"/>
    <x v="1"/>
    <x v="3"/>
    <x v="9"/>
  </r>
  <r>
    <x v="4"/>
    <x v="15"/>
    <x v="1"/>
    <x v="328"/>
    <x v="265"/>
    <x v="92"/>
    <x v="2"/>
    <x v="0"/>
    <x v="0"/>
    <x v="1"/>
    <x v="34"/>
    <x v="48"/>
    <x v="0"/>
    <x v="0"/>
    <x v="17"/>
    <x v="5"/>
    <x v="1"/>
    <x v="7"/>
  </r>
  <r>
    <x v="4"/>
    <x v="1"/>
    <x v="1"/>
    <x v="329"/>
    <x v="292"/>
    <x v="287"/>
    <x v="2"/>
    <x v="1"/>
    <x v="0"/>
    <x v="0"/>
    <x v="1"/>
    <x v="15"/>
    <x v="3"/>
    <x v="5"/>
    <x v="19"/>
    <x v="6"/>
    <x v="0"/>
    <x v="3"/>
  </r>
  <r>
    <x v="4"/>
    <x v="21"/>
    <x v="0"/>
    <x v="330"/>
    <x v="164"/>
    <x v="153"/>
    <x v="0"/>
    <x v="2"/>
    <x v="0"/>
    <x v="0"/>
    <x v="4"/>
    <x v="4"/>
    <x v="5"/>
    <x v="5"/>
    <x v="29"/>
    <x v="3"/>
    <x v="3"/>
    <x v="9"/>
  </r>
  <r>
    <x v="0"/>
    <x v="14"/>
    <x v="0"/>
    <x v="331"/>
    <x v="293"/>
    <x v="288"/>
    <x v="0"/>
    <x v="1"/>
    <x v="0"/>
    <x v="1"/>
    <x v="1"/>
    <x v="21"/>
    <x v="2"/>
    <x v="3"/>
    <x v="7"/>
    <x v="0"/>
    <x v="4"/>
    <x v="4"/>
  </r>
  <r>
    <x v="3"/>
    <x v="11"/>
    <x v="1"/>
    <x v="332"/>
    <x v="294"/>
    <x v="289"/>
    <x v="4"/>
    <x v="0"/>
    <x v="2"/>
    <x v="1"/>
    <x v="47"/>
    <x v="74"/>
    <x v="1"/>
    <x v="3"/>
    <x v="27"/>
    <x v="5"/>
    <x v="1"/>
    <x v="9"/>
  </r>
  <r>
    <x v="2"/>
    <x v="27"/>
    <x v="1"/>
    <x v="333"/>
    <x v="290"/>
    <x v="290"/>
    <x v="0"/>
    <x v="3"/>
    <x v="1"/>
    <x v="0"/>
    <x v="16"/>
    <x v="71"/>
    <x v="4"/>
    <x v="4"/>
    <x v="17"/>
    <x v="4"/>
    <x v="6"/>
    <x v="5"/>
  </r>
  <r>
    <x v="0"/>
    <x v="19"/>
    <x v="1"/>
    <x v="334"/>
    <x v="295"/>
    <x v="291"/>
    <x v="3"/>
    <x v="1"/>
    <x v="0"/>
    <x v="0"/>
    <x v="36"/>
    <x v="42"/>
    <x v="4"/>
    <x v="0"/>
    <x v="31"/>
    <x v="0"/>
    <x v="2"/>
    <x v="6"/>
  </r>
  <r>
    <x v="1"/>
    <x v="3"/>
    <x v="0"/>
    <x v="335"/>
    <x v="296"/>
    <x v="292"/>
    <x v="2"/>
    <x v="0"/>
    <x v="1"/>
    <x v="0"/>
    <x v="32"/>
    <x v="13"/>
    <x v="3"/>
    <x v="6"/>
    <x v="19"/>
    <x v="7"/>
    <x v="4"/>
    <x v="0"/>
  </r>
  <r>
    <x v="1"/>
    <x v="14"/>
    <x v="1"/>
    <x v="336"/>
    <x v="297"/>
    <x v="293"/>
    <x v="4"/>
    <x v="1"/>
    <x v="2"/>
    <x v="1"/>
    <x v="35"/>
    <x v="36"/>
    <x v="4"/>
    <x v="1"/>
    <x v="17"/>
    <x v="0"/>
    <x v="4"/>
    <x v="7"/>
  </r>
  <r>
    <x v="1"/>
    <x v="4"/>
    <x v="1"/>
    <x v="337"/>
    <x v="298"/>
    <x v="294"/>
    <x v="4"/>
    <x v="0"/>
    <x v="1"/>
    <x v="1"/>
    <x v="32"/>
    <x v="76"/>
    <x v="3"/>
    <x v="3"/>
    <x v="18"/>
    <x v="8"/>
    <x v="0"/>
    <x v="6"/>
  </r>
  <r>
    <x v="0"/>
    <x v="13"/>
    <x v="1"/>
    <x v="338"/>
    <x v="299"/>
    <x v="295"/>
    <x v="1"/>
    <x v="2"/>
    <x v="0"/>
    <x v="0"/>
    <x v="9"/>
    <x v="13"/>
    <x v="3"/>
    <x v="3"/>
    <x v="23"/>
    <x v="11"/>
    <x v="4"/>
    <x v="8"/>
  </r>
  <r>
    <x v="0"/>
    <x v="6"/>
    <x v="0"/>
    <x v="339"/>
    <x v="300"/>
    <x v="133"/>
    <x v="3"/>
    <x v="1"/>
    <x v="2"/>
    <x v="0"/>
    <x v="13"/>
    <x v="41"/>
    <x v="5"/>
    <x v="0"/>
    <x v="32"/>
    <x v="9"/>
    <x v="5"/>
    <x v="4"/>
  </r>
  <r>
    <x v="1"/>
    <x v="25"/>
    <x v="0"/>
    <x v="340"/>
    <x v="301"/>
    <x v="296"/>
    <x v="2"/>
    <x v="0"/>
    <x v="0"/>
    <x v="0"/>
    <x v="39"/>
    <x v="69"/>
    <x v="0"/>
    <x v="5"/>
    <x v="6"/>
    <x v="11"/>
    <x v="3"/>
    <x v="2"/>
  </r>
  <r>
    <x v="4"/>
    <x v="4"/>
    <x v="1"/>
    <x v="341"/>
    <x v="302"/>
    <x v="120"/>
    <x v="1"/>
    <x v="3"/>
    <x v="0"/>
    <x v="1"/>
    <x v="7"/>
    <x v="36"/>
    <x v="0"/>
    <x v="6"/>
    <x v="31"/>
    <x v="11"/>
    <x v="0"/>
    <x v="1"/>
  </r>
  <r>
    <x v="1"/>
    <x v="22"/>
    <x v="1"/>
    <x v="342"/>
    <x v="303"/>
    <x v="212"/>
    <x v="1"/>
    <x v="3"/>
    <x v="0"/>
    <x v="1"/>
    <x v="13"/>
    <x v="33"/>
    <x v="4"/>
    <x v="5"/>
    <x v="19"/>
    <x v="9"/>
    <x v="0"/>
    <x v="1"/>
  </r>
  <r>
    <x v="4"/>
    <x v="10"/>
    <x v="0"/>
    <x v="343"/>
    <x v="304"/>
    <x v="162"/>
    <x v="0"/>
    <x v="1"/>
    <x v="1"/>
    <x v="0"/>
    <x v="3"/>
    <x v="51"/>
    <x v="4"/>
    <x v="3"/>
    <x v="10"/>
    <x v="6"/>
    <x v="0"/>
    <x v="7"/>
  </r>
  <r>
    <x v="4"/>
    <x v="27"/>
    <x v="1"/>
    <x v="344"/>
    <x v="305"/>
    <x v="297"/>
    <x v="4"/>
    <x v="0"/>
    <x v="1"/>
    <x v="1"/>
    <x v="28"/>
    <x v="10"/>
    <x v="3"/>
    <x v="4"/>
    <x v="18"/>
    <x v="8"/>
    <x v="1"/>
    <x v="3"/>
  </r>
  <r>
    <x v="1"/>
    <x v="15"/>
    <x v="1"/>
    <x v="345"/>
    <x v="306"/>
    <x v="63"/>
    <x v="1"/>
    <x v="0"/>
    <x v="1"/>
    <x v="0"/>
    <x v="20"/>
    <x v="35"/>
    <x v="3"/>
    <x v="6"/>
    <x v="23"/>
    <x v="0"/>
    <x v="4"/>
    <x v="1"/>
  </r>
  <r>
    <x v="4"/>
    <x v="5"/>
    <x v="1"/>
    <x v="346"/>
    <x v="307"/>
    <x v="230"/>
    <x v="4"/>
    <x v="3"/>
    <x v="0"/>
    <x v="1"/>
    <x v="17"/>
    <x v="13"/>
    <x v="4"/>
    <x v="2"/>
    <x v="23"/>
    <x v="10"/>
    <x v="5"/>
    <x v="2"/>
  </r>
  <r>
    <x v="2"/>
    <x v="1"/>
    <x v="1"/>
    <x v="347"/>
    <x v="308"/>
    <x v="298"/>
    <x v="4"/>
    <x v="0"/>
    <x v="1"/>
    <x v="0"/>
    <x v="23"/>
    <x v="22"/>
    <x v="1"/>
    <x v="6"/>
    <x v="12"/>
    <x v="2"/>
    <x v="6"/>
    <x v="0"/>
  </r>
  <r>
    <x v="1"/>
    <x v="23"/>
    <x v="1"/>
    <x v="348"/>
    <x v="250"/>
    <x v="299"/>
    <x v="2"/>
    <x v="0"/>
    <x v="2"/>
    <x v="0"/>
    <x v="36"/>
    <x v="29"/>
    <x v="3"/>
    <x v="3"/>
    <x v="5"/>
    <x v="9"/>
    <x v="2"/>
    <x v="7"/>
  </r>
  <r>
    <x v="3"/>
    <x v="24"/>
    <x v="0"/>
    <x v="349"/>
    <x v="10"/>
    <x v="300"/>
    <x v="2"/>
    <x v="1"/>
    <x v="0"/>
    <x v="1"/>
    <x v="32"/>
    <x v="28"/>
    <x v="1"/>
    <x v="3"/>
    <x v="28"/>
    <x v="5"/>
    <x v="1"/>
    <x v="9"/>
  </r>
  <r>
    <x v="1"/>
    <x v="23"/>
    <x v="1"/>
    <x v="350"/>
    <x v="269"/>
    <x v="69"/>
    <x v="4"/>
    <x v="1"/>
    <x v="1"/>
    <x v="1"/>
    <x v="34"/>
    <x v="47"/>
    <x v="2"/>
    <x v="3"/>
    <x v="27"/>
    <x v="8"/>
    <x v="1"/>
    <x v="1"/>
  </r>
  <r>
    <x v="1"/>
    <x v="29"/>
    <x v="1"/>
    <x v="351"/>
    <x v="309"/>
    <x v="301"/>
    <x v="1"/>
    <x v="0"/>
    <x v="0"/>
    <x v="1"/>
    <x v="17"/>
    <x v="26"/>
    <x v="3"/>
    <x v="0"/>
    <x v="23"/>
    <x v="2"/>
    <x v="0"/>
    <x v="1"/>
  </r>
  <r>
    <x v="4"/>
    <x v="8"/>
    <x v="1"/>
    <x v="352"/>
    <x v="292"/>
    <x v="302"/>
    <x v="2"/>
    <x v="3"/>
    <x v="0"/>
    <x v="0"/>
    <x v="11"/>
    <x v="1"/>
    <x v="1"/>
    <x v="3"/>
    <x v="13"/>
    <x v="6"/>
    <x v="0"/>
    <x v="9"/>
  </r>
  <r>
    <x v="1"/>
    <x v="1"/>
    <x v="0"/>
    <x v="353"/>
    <x v="310"/>
    <x v="303"/>
    <x v="4"/>
    <x v="2"/>
    <x v="1"/>
    <x v="0"/>
    <x v="36"/>
    <x v="35"/>
    <x v="2"/>
    <x v="3"/>
    <x v="29"/>
    <x v="10"/>
    <x v="4"/>
    <x v="2"/>
  </r>
  <r>
    <x v="2"/>
    <x v="6"/>
    <x v="1"/>
    <x v="354"/>
    <x v="311"/>
    <x v="161"/>
    <x v="1"/>
    <x v="0"/>
    <x v="2"/>
    <x v="0"/>
    <x v="24"/>
    <x v="39"/>
    <x v="5"/>
    <x v="5"/>
    <x v="9"/>
    <x v="2"/>
    <x v="0"/>
    <x v="2"/>
  </r>
  <r>
    <x v="0"/>
    <x v="9"/>
    <x v="1"/>
    <x v="355"/>
    <x v="312"/>
    <x v="304"/>
    <x v="2"/>
    <x v="2"/>
    <x v="0"/>
    <x v="1"/>
    <x v="24"/>
    <x v="5"/>
    <x v="2"/>
    <x v="1"/>
    <x v="22"/>
    <x v="10"/>
    <x v="6"/>
    <x v="3"/>
  </r>
  <r>
    <x v="0"/>
    <x v="0"/>
    <x v="0"/>
    <x v="356"/>
    <x v="313"/>
    <x v="305"/>
    <x v="0"/>
    <x v="2"/>
    <x v="0"/>
    <x v="1"/>
    <x v="31"/>
    <x v="54"/>
    <x v="0"/>
    <x v="6"/>
    <x v="30"/>
    <x v="9"/>
    <x v="0"/>
    <x v="8"/>
  </r>
  <r>
    <x v="4"/>
    <x v="9"/>
    <x v="0"/>
    <x v="357"/>
    <x v="314"/>
    <x v="243"/>
    <x v="0"/>
    <x v="2"/>
    <x v="1"/>
    <x v="0"/>
    <x v="38"/>
    <x v="62"/>
    <x v="0"/>
    <x v="4"/>
    <x v="21"/>
    <x v="4"/>
    <x v="0"/>
    <x v="3"/>
  </r>
  <r>
    <x v="0"/>
    <x v="13"/>
    <x v="0"/>
    <x v="358"/>
    <x v="315"/>
    <x v="306"/>
    <x v="0"/>
    <x v="1"/>
    <x v="0"/>
    <x v="1"/>
    <x v="18"/>
    <x v="39"/>
    <x v="4"/>
    <x v="2"/>
    <x v="10"/>
    <x v="10"/>
    <x v="6"/>
    <x v="6"/>
  </r>
  <r>
    <x v="1"/>
    <x v="29"/>
    <x v="1"/>
    <x v="359"/>
    <x v="316"/>
    <x v="179"/>
    <x v="3"/>
    <x v="1"/>
    <x v="2"/>
    <x v="0"/>
    <x v="9"/>
    <x v="57"/>
    <x v="1"/>
    <x v="5"/>
    <x v="12"/>
    <x v="0"/>
    <x v="2"/>
    <x v="7"/>
  </r>
  <r>
    <x v="4"/>
    <x v="14"/>
    <x v="0"/>
    <x v="360"/>
    <x v="317"/>
    <x v="307"/>
    <x v="0"/>
    <x v="3"/>
    <x v="1"/>
    <x v="1"/>
    <x v="13"/>
    <x v="35"/>
    <x v="2"/>
    <x v="2"/>
    <x v="36"/>
    <x v="1"/>
    <x v="1"/>
    <x v="9"/>
  </r>
  <r>
    <x v="1"/>
    <x v="28"/>
    <x v="1"/>
    <x v="361"/>
    <x v="318"/>
    <x v="308"/>
    <x v="0"/>
    <x v="1"/>
    <x v="1"/>
    <x v="0"/>
    <x v="9"/>
    <x v="16"/>
    <x v="1"/>
    <x v="1"/>
    <x v="2"/>
    <x v="3"/>
    <x v="4"/>
    <x v="5"/>
  </r>
  <r>
    <x v="2"/>
    <x v="10"/>
    <x v="1"/>
    <x v="362"/>
    <x v="319"/>
    <x v="309"/>
    <x v="0"/>
    <x v="0"/>
    <x v="0"/>
    <x v="0"/>
    <x v="21"/>
    <x v="78"/>
    <x v="2"/>
    <x v="0"/>
    <x v="23"/>
    <x v="1"/>
    <x v="3"/>
    <x v="9"/>
  </r>
  <r>
    <x v="4"/>
    <x v="13"/>
    <x v="1"/>
    <x v="363"/>
    <x v="320"/>
    <x v="115"/>
    <x v="1"/>
    <x v="3"/>
    <x v="2"/>
    <x v="1"/>
    <x v="39"/>
    <x v="23"/>
    <x v="1"/>
    <x v="0"/>
    <x v="7"/>
    <x v="9"/>
    <x v="4"/>
    <x v="1"/>
  </r>
  <r>
    <x v="2"/>
    <x v="13"/>
    <x v="1"/>
    <x v="364"/>
    <x v="321"/>
    <x v="310"/>
    <x v="1"/>
    <x v="2"/>
    <x v="2"/>
    <x v="1"/>
    <x v="47"/>
    <x v="65"/>
    <x v="4"/>
    <x v="6"/>
    <x v="26"/>
    <x v="9"/>
    <x v="2"/>
    <x v="6"/>
  </r>
  <r>
    <x v="2"/>
    <x v="29"/>
    <x v="0"/>
    <x v="365"/>
    <x v="322"/>
    <x v="311"/>
    <x v="1"/>
    <x v="2"/>
    <x v="1"/>
    <x v="1"/>
    <x v="20"/>
    <x v="44"/>
    <x v="1"/>
    <x v="3"/>
    <x v="7"/>
    <x v="0"/>
    <x v="0"/>
    <x v="4"/>
  </r>
  <r>
    <x v="1"/>
    <x v="15"/>
    <x v="1"/>
    <x v="366"/>
    <x v="323"/>
    <x v="312"/>
    <x v="3"/>
    <x v="1"/>
    <x v="0"/>
    <x v="0"/>
    <x v="23"/>
    <x v="52"/>
    <x v="2"/>
    <x v="0"/>
    <x v="23"/>
    <x v="1"/>
    <x v="5"/>
    <x v="8"/>
  </r>
  <r>
    <x v="4"/>
    <x v="1"/>
    <x v="0"/>
    <x v="367"/>
    <x v="198"/>
    <x v="313"/>
    <x v="1"/>
    <x v="1"/>
    <x v="2"/>
    <x v="1"/>
    <x v="6"/>
    <x v="4"/>
    <x v="5"/>
    <x v="6"/>
    <x v="21"/>
    <x v="4"/>
    <x v="0"/>
    <x v="1"/>
  </r>
  <r>
    <x v="4"/>
    <x v="20"/>
    <x v="1"/>
    <x v="368"/>
    <x v="324"/>
    <x v="314"/>
    <x v="4"/>
    <x v="1"/>
    <x v="0"/>
    <x v="0"/>
    <x v="29"/>
    <x v="14"/>
    <x v="4"/>
    <x v="2"/>
    <x v="8"/>
    <x v="11"/>
    <x v="3"/>
    <x v="0"/>
  </r>
  <r>
    <x v="0"/>
    <x v="4"/>
    <x v="1"/>
    <x v="369"/>
    <x v="325"/>
    <x v="276"/>
    <x v="3"/>
    <x v="3"/>
    <x v="0"/>
    <x v="0"/>
    <x v="15"/>
    <x v="27"/>
    <x v="5"/>
    <x v="4"/>
    <x v="24"/>
    <x v="8"/>
    <x v="3"/>
    <x v="0"/>
  </r>
  <r>
    <x v="0"/>
    <x v="0"/>
    <x v="0"/>
    <x v="370"/>
    <x v="326"/>
    <x v="315"/>
    <x v="0"/>
    <x v="1"/>
    <x v="2"/>
    <x v="1"/>
    <x v="8"/>
    <x v="79"/>
    <x v="2"/>
    <x v="2"/>
    <x v="24"/>
    <x v="5"/>
    <x v="6"/>
    <x v="7"/>
  </r>
  <r>
    <x v="4"/>
    <x v="9"/>
    <x v="1"/>
    <x v="371"/>
    <x v="327"/>
    <x v="316"/>
    <x v="3"/>
    <x v="1"/>
    <x v="2"/>
    <x v="0"/>
    <x v="28"/>
    <x v="67"/>
    <x v="5"/>
    <x v="2"/>
    <x v="12"/>
    <x v="0"/>
    <x v="5"/>
    <x v="7"/>
  </r>
  <r>
    <x v="1"/>
    <x v="1"/>
    <x v="1"/>
    <x v="372"/>
    <x v="328"/>
    <x v="298"/>
    <x v="2"/>
    <x v="3"/>
    <x v="2"/>
    <x v="0"/>
    <x v="6"/>
    <x v="45"/>
    <x v="2"/>
    <x v="4"/>
    <x v="32"/>
    <x v="4"/>
    <x v="5"/>
    <x v="0"/>
  </r>
  <r>
    <x v="4"/>
    <x v="27"/>
    <x v="1"/>
    <x v="373"/>
    <x v="329"/>
    <x v="317"/>
    <x v="0"/>
    <x v="2"/>
    <x v="1"/>
    <x v="0"/>
    <x v="0"/>
    <x v="56"/>
    <x v="5"/>
    <x v="3"/>
    <x v="9"/>
    <x v="5"/>
    <x v="6"/>
    <x v="1"/>
  </r>
  <r>
    <x v="1"/>
    <x v="18"/>
    <x v="0"/>
    <x v="374"/>
    <x v="330"/>
    <x v="318"/>
    <x v="3"/>
    <x v="3"/>
    <x v="1"/>
    <x v="0"/>
    <x v="22"/>
    <x v="46"/>
    <x v="3"/>
    <x v="6"/>
    <x v="28"/>
    <x v="6"/>
    <x v="0"/>
    <x v="4"/>
  </r>
  <r>
    <x v="0"/>
    <x v="20"/>
    <x v="1"/>
    <x v="375"/>
    <x v="331"/>
    <x v="319"/>
    <x v="4"/>
    <x v="1"/>
    <x v="2"/>
    <x v="1"/>
    <x v="37"/>
    <x v="30"/>
    <x v="4"/>
    <x v="1"/>
    <x v="18"/>
    <x v="7"/>
    <x v="1"/>
    <x v="0"/>
  </r>
  <r>
    <x v="2"/>
    <x v="23"/>
    <x v="0"/>
    <x v="376"/>
    <x v="332"/>
    <x v="320"/>
    <x v="0"/>
    <x v="3"/>
    <x v="2"/>
    <x v="0"/>
    <x v="7"/>
    <x v="0"/>
    <x v="0"/>
    <x v="2"/>
    <x v="30"/>
    <x v="8"/>
    <x v="4"/>
    <x v="4"/>
  </r>
  <r>
    <x v="4"/>
    <x v="29"/>
    <x v="1"/>
    <x v="377"/>
    <x v="333"/>
    <x v="321"/>
    <x v="1"/>
    <x v="2"/>
    <x v="0"/>
    <x v="0"/>
    <x v="30"/>
    <x v="68"/>
    <x v="4"/>
    <x v="2"/>
    <x v="35"/>
    <x v="5"/>
    <x v="2"/>
    <x v="6"/>
  </r>
  <r>
    <x v="0"/>
    <x v="3"/>
    <x v="1"/>
    <x v="378"/>
    <x v="334"/>
    <x v="322"/>
    <x v="2"/>
    <x v="3"/>
    <x v="0"/>
    <x v="1"/>
    <x v="41"/>
    <x v="73"/>
    <x v="4"/>
    <x v="2"/>
    <x v="22"/>
    <x v="8"/>
    <x v="2"/>
    <x v="5"/>
  </r>
  <r>
    <x v="1"/>
    <x v="19"/>
    <x v="0"/>
    <x v="379"/>
    <x v="83"/>
    <x v="323"/>
    <x v="1"/>
    <x v="2"/>
    <x v="2"/>
    <x v="0"/>
    <x v="34"/>
    <x v="20"/>
    <x v="5"/>
    <x v="1"/>
    <x v="6"/>
    <x v="4"/>
    <x v="6"/>
    <x v="1"/>
  </r>
  <r>
    <x v="0"/>
    <x v="13"/>
    <x v="1"/>
    <x v="380"/>
    <x v="335"/>
    <x v="324"/>
    <x v="1"/>
    <x v="1"/>
    <x v="2"/>
    <x v="0"/>
    <x v="9"/>
    <x v="76"/>
    <x v="3"/>
    <x v="5"/>
    <x v="33"/>
    <x v="3"/>
    <x v="4"/>
    <x v="2"/>
  </r>
  <r>
    <x v="1"/>
    <x v="6"/>
    <x v="1"/>
    <x v="381"/>
    <x v="336"/>
    <x v="325"/>
    <x v="3"/>
    <x v="3"/>
    <x v="2"/>
    <x v="1"/>
    <x v="9"/>
    <x v="20"/>
    <x v="3"/>
    <x v="3"/>
    <x v="28"/>
    <x v="11"/>
    <x v="5"/>
    <x v="9"/>
  </r>
  <r>
    <x v="1"/>
    <x v="9"/>
    <x v="1"/>
    <x v="382"/>
    <x v="337"/>
    <x v="326"/>
    <x v="4"/>
    <x v="3"/>
    <x v="2"/>
    <x v="0"/>
    <x v="41"/>
    <x v="68"/>
    <x v="4"/>
    <x v="4"/>
    <x v="32"/>
    <x v="4"/>
    <x v="1"/>
    <x v="2"/>
  </r>
  <r>
    <x v="3"/>
    <x v="19"/>
    <x v="0"/>
    <x v="383"/>
    <x v="338"/>
    <x v="327"/>
    <x v="4"/>
    <x v="1"/>
    <x v="2"/>
    <x v="1"/>
    <x v="43"/>
    <x v="9"/>
    <x v="2"/>
    <x v="2"/>
    <x v="15"/>
    <x v="5"/>
    <x v="6"/>
    <x v="9"/>
  </r>
  <r>
    <x v="4"/>
    <x v="19"/>
    <x v="1"/>
    <x v="384"/>
    <x v="339"/>
    <x v="328"/>
    <x v="0"/>
    <x v="0"/>
    <x v="1"/>
    <x v="1"/>
    <x v="38"/>
    <x v="41"/>
    <x v="3"/>
    <x v="0"/>
    <x v="18"/>
    <x v="1"/>
    <x v="3"/>
    <x v="3"/>
  </r>
  <r>
    <x v="2"/>
    <x v="26"/>
    <x v="1"/>
    <x v="385"/>
    <x v="340"/>
    <x v="329"/>
    <x v="2"/>
    <x v="1"/>
    <x v="0"/>
    <x v="1"/>
    <x v="17"/>
    <x v="57"/>
    <x v="0"/>
    <x v="4"/>
    <x v="17"/>
    <x v="8"/>
    <x v="3"/>
    <x v="5"/>
  </r>
  <r>
    <x v="0"/>
    <x v="8"/>
    <x v="0"/>
    <x v="386"/>
    <x v="91"/>
    <x v="330"/>
    <x v="2"/>
    <x v="3"/>
    <x v="2"/>
    <x v="0"/>
    <x v="29"/>
    <x v="17"/>
    <x v="1"/>
    <x v="2"/>
    <x v="15"/>
    <x v="3"/>
    <x v="1"/>
    <x v="2"/>
  </r>
  <r>
    <x v="0"/>
    <x v="5"/>
    <x v="1"/>
    <x v="387"/>
    <x v="341"/>
    <x v="331"/>
    <x v="1"/>
    <x v="0"/>
    <x v="0"/>
    <x v="0"/>
    <x v="8"/>
    <x v="15"/>
    <x v="4"/>
    <x v="5"/>
    <x v="16"/>
    <x v="11"/>
    <x v="1"/>
    <x v="8"/>
  </r>
  <r>
    <x v="4"/>
    <x v="16"/>
    <x v="1"/>
    <x v="388"/>
    <x v="342"/>
    <x v="332"/>
    <x v="3"/>
    <x v="3"/>
    <x v="2"/>
    <x v="0"/>
    <x v="20"/>
    <x v="67"/>
    <x v="1"/>
    <x v="4"/>
    <x v="10"/>
    <x v="11"/>
    <x v="6"/>
    <x v="2"/>
  </r>
  <r>
    <x v="4"/>
    <x v="26"/>
    <x v="1"/>
    <x v="389"/>
    <x v="343"/>
    <x v="193"/>
    <x v="2"/>
    <x v="0"/>
    <x v="2"/>
    <x v="1"/>
    <x v="45"/>
    <x v="53"/>
    <x v="4"/>
    <x v="4"/>
    <x v="9"/>
    <x v="7"/>
    <x v="5"/>
    <x v="9"/>
  </r>
  <r>
    <x v="1"/>
    <x v="15"/>
    <x v="1"/>
    <x v="390"/>
    <x v="344"/>
    <x v="333"/>
    <x v="3"/>
    <x v="2"/>
    <x v="2"/>
    <x v="0"/>
    <x v="33"/>
    <x v="28"/>
    <x v="4"/>
    <x v="1"/>
    <x v="24"/>
    <x v="10"/>
    <x v="3"/>
    <x v="0"/>
  </r>
  <r>
    <x v="4"/>
    <x v="8"/>
    <x v="0"/>
    <x v="391"/>
    <x v="345"/>
    <x v="334"/>
    <x v="0"/>
    <x v="3"/>
    <x v="0"/>
    <x v="1"/>
    <x v="19"/>
    <x v="41"/>
    <x v="1"/>
    <x v="6"/>
    <x v="25"/>
    <x v="10"/>
    <x v="4"/>
    <x v="2"/>
  </r>
  <r>
    <x v="4"/>
    <x v="2"/>
    <x v="1"/>
    <x v="392"/>
    <x v="346"/>
    <x v="335"/>
    <x v="4"/>
    <x v="2"/>
    <x v="2"/>
    <x v="1"/>
    <x v="7"/>
    <x v="24"/>
    <x v="5"/>
    <x v="0"/>
    <x v="22"/>
    <x v="10"/>
    <x v="6"/>
    <x v="7"/>
  </r>
  <r>
    <x v="2"/>
    <x v="10"/>
    <x v="0"/>
    <x v="393"/>
    <x v="347"/>
    <x v="336"/>
    <x v="3"/>
    <x v="0"/>
    <x v="1"/>
    <x v="1"/>
    <x v="19"/>
    <x v="54"/>
    <x v="0"/>
    <x v="5"/>
    <x v="28"/>
    <x v="2"/>
    <x v="2"/>
    <x v="6"/>
  </r>
  <r>
    <x v="0"/>
    <x v="26"/>
    <x v="1"/>
    <x v="394"/>
    <x v="348"/>
    <x v="337"/>
    <x v="2"/>
    <x v="3"/>
    <x v="2"/>
    <x v="1"/>
    <x v="35"/>
    <x v="63"/>
    <x v="3"/>
    <x v="6"/>
    <x v="9"/>
    <x v="1"/>
    <x v="1"/>
    <x v="2"/>
  </r>
  <r>
    <x v="0"/>
    <x v="14"/>
    <x v="0"/>
    <x v="395"/>
    <x v="216"/>
    <x v="338"/>
    <x v="1"/>
    <x v="0"/>
    <x v="2"/>
    <x v="0"/>
    <x v="5"/>
    <x v="70"/>
    <x v="1"/>
    <x v="1"/>
    <x v="12"/>
    <x v="10"/>
    <x v="5"/>
    <x v="7"/>
  </r>
  <r>
    <x v="4"/>
    <x v="27"/>
    <x v="0"/>
    <x v="396"/>
    <x v="349"/>
    <x v="339"/>
    <x v="3"/>
    <x v="3"/>
    <x v="1"/>
    <x v="0"/>
    <x v="6"/>
    <x v="33"/>
    <x v="4"/>
    <x v="5"/>
    <x v="37"/>
    <x v="4"/>
    <x v="1"/>
    <x v="5"/>
  </r>
  <r>
    <x v="1"/>
    <x v="5"/>
    <x v="0"/>
    <x v="397"/>
    <x v="350"/>
    <x v="340"/>
    <x v="0"/>
    <x v="3"/>
    <x v="1"/>
    <x v="0"/>
    <x v="11"/>
    <x v="71"/>
    <x v="0"/>
    <x v="1"/>
    <x v="15"/>
    <x v="7"/>
    <x v="6"/>
    <x v="9"/>
  </r>
  <r>
    <x v="4"/>
    <x v="17"/>
    <x v="0"/>
    <x v="398"/>
    <x v="351"/>
    <x v="341"/>
    <x v="4"/>
    <x v="3"/>
    <x v="1"/>
    <x v="0"/>
    <x v="32"/>
    <x v="56"/>
    <x v="2"/>
    <x v="0"/>
    <x v="36"/>
    <x v="9"/>
    <x v="4"/>
    <x v="0"/>
  </r>
  <r>
    <x v="2"/>
    <x v="20"/>
    <x v="0"/>
    <x v="399"/>
    <x v="119"/>
    <x v="342"/>
    <x v="4"/>
    <x v="2"/>
    <x v="2"/>
    <x v="0"/>
    <x v="26"/>
    <x v="59"/>
    <x v="5"/>
    <x v="2"/>
    <x v="32"/>
    <x v="0"/>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A41A02-1ED1-3541-A1E9-894FAEF5D91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3:N28" firstHeaderRow="1" firstDataRow="1" firstDataCol="1"/>
  <pivotFields count="18">
    <pivotField showAll="0"/>
    <pivotField showAll="0"/>
    <pivotField showAll="0"/>
    <pivotField showAll="0"/>
    <pivotField numFmtId="14" showAll="0">
      <items count="8">
        <item x="0"/>
        <item x="1"/>
        <item x="2"/>
        <item x="3"/>
        <item x="4"/>
        <item x="5"/>
        <item x="6"/>
        <item t="default"/>
      </items>
    </pivotField>
    <pivotField showAll="0"/>
    <pivotField showAll="0">
      <items count="6">
        <item x="4"/>
        <item x="0"/>
        <item x="3"/>
        <item x="2"/>
        <item x="1"/>
        <item t="default"/>
      </items>
    </pivotField>
    <pivotField showAll="0">
      <items count="5">
        <item x="3"/>
        <item x="0"/>
        <item x="1"/>
        <item x="2"/>
        <item t="default"/>
      </items>
    </pivotField>
    <pivotField showAll="0"/>
    <pivotField showAll="0"/>
    <pivotField showAll="0">
      <items count="5">
        <item x="0"/>
        <item x="1"/>
        <item x="2"/>
        <item x="3"/>
        <item t="default"/>
      </items>
    </pivotField>
    <pivotField numFmtId="165" showAll="0"/>
    <pivotField dataField="1" showAll="0">
      <items count="7">
        <item x="1"/>
        <item x="0"/>
        <item x="2"/>
        <item x="4"/>
        <item x="3"/>
        <item x="5"/>
        <item t="default"/>
      </items>
    </pivotField>
    <pivotField showAll="0"/>
    <pivotField axis="axisRow" showAll="0">
      <items count="7">
        <item x="0"/>
        <item x="1"/>
        <item x="2"/>
        <item x="3"/>
        <item x="4"/>
        <item x="5"/>
        <item t="default"/>
      </items>
    </pivotField>
    <pivotField showAll="0"/>
    <pivotField showAll="0"/>
    <pivotField showAll="0">
      <items count="11">
        <item x="8"/>
        <item x="1"/>
        <item x="4"/>
        <item x="3"/>
        <item x="9"/>
        <item x="6"/>
        <item x="0"/>
        <item x="5"/>
        <item x="2"/>
        <item x="7"/>
        <item t="default"/>
      </items>
    </pivotField>
  </pivotFields>
  <rowFields count="1">
    <field x="14"/>
  </rowFields>
  <rowItems count="5">
    <i>
      <x v="1"/>
    </i>
    <i>
      <x v="2"/>
    </i>
    <i>
      <x v="3"/>
    </i>
    <i>
      <x v="4"/>
    </i>
    <i t="grand">
      <x/>
    </i>
  </rowItems>
  <colItems count="1">
    <i/>
  </colItems>
  <dataFields count="1">
    <dataField name="Sum of Fatalities" fld="12"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5D74F2-8BC0-5C44-8235-F26717C56EE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9" firstHeaderRow="1" firstDataRow="1" firstDataCol="1"/>
  <pivotFields count="18">
    <pivotField showAll="0"/>
    <pivotField showAll="0"/>
    <pivotField showAll="0"/>
    <pivotField showAll="0"/>
    <pivotField numFmtId="14" showAll="0">
      <items count="8">
        <item x="0"/>
        <item x="1"/>
        <item x="2"/>
        <item x="3"/>
        <item x="4"/>
        <item x="5"/>
        <item x="6"/>
        <item t="default"/>
      </items>
    </pivotField>
    <pivotField showAll="0"/>
    <pivotField showAll="0">
      <items count="6">
        <item x="4"/>
        <item x="0"/>
        <item x="3"/>
        <item x="2"/>
        <item x="1"/>
        <item t="default"/>
      </items>
    </pivotField>
    <pivotField showAll="0">
      <items count="5">
        <item x="3"/>
        <item x="0"/>
        <item x="1"/>
        <item x="2"/>
        <item t="default"/>
      </items>
    </pivotField>
    <pivotField showAll="0"/>
    <pivotField showAll="0"/>
    <pivotField showAll="0">
      <items count="5">
        <item x="0"/>
        <item x="1"/>
        <item x="2"/>
        <item x="3"/>
        <item t="default"/>
      </items>
    </pivotField>
    <pivotField numFmtId="165" showAll="0"/>
    <pivotField dataField="1" showAll="0">
      <items count="7">
        <item x="1"/>
        <item x="0"/>
        <item x="2"/>
        <item x="4"/>
        <item x="3"/>
        <item x="5"/>
        <item t="default"/>
      </items>
    </pivotField>
    <pivotField showAll="0"/>
    <pivotField showAll="0">
      <items count="7">
        <item x="0"/>
        <item x="1"/>
        <item x="2"/>
        <item x="3"/>
        <item x="4"/>
        <item x="5"/>
        <item t="default"/>
      </items>
    </pivotField>
    <pivotField axis="axisRow" showAll="0">
      <items count="13">
        <item x="5"/>
        <item x="2"/>
        <item x="1"/>
        <item x="11"/>
        <item x="4"/>
        <item x="9"/>
        <item x="7"/>
        <item x="8"/>
        <item x="3"/>
        <item x="10"/>
        <item x="6"/>
        <item x="0"/>
        <item t="default"/>
      </items>
    </pivotField>
    <pivotField showAll="0"/>
    <pivotField showAll="0">
      <items count="11">
        <item x="8"/>
        <item x="1"/>
        <item x="4"/>
        <item x="3"/>
        <item x="9"/>
        <item x="6"/>
        <item x="0"/>
        <item x="5"/>
        <item x="2"/>
        <item x="7"/>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Sum of Fatalities" fld="12"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AB5D3B-EF5F-7D4C-8BF2-B8FD7BCB231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21:H26" firstHeaderRow="1" firstDataRow="1" firstDataCol="1"/>
  <pivotFields count="18">
    <pivotField showAll="0"/>
    <pivotField showAll="0"/>
    <pivotField showAll="0"/>
    <pivotField showAll="0"/>
    <pivotField numFmtId="14" showAll="0">
      <items count="8">
        <item x="0"/>
        <item x="1"/>
        <item x="2"/>
        <item x="3"/>
        <item x="4"/>
        <item x="5"/>
        <item x="6"/>
        <item t="default"/>
      </items>
    </pivotField>
    <pivotField showAll="0"/>
    <pivotField showAll="0">
      <items count="6">
        <item x="4"/>
        <item x="0"/>
        <item x="3"/>
        <item x="2"/>
        <item x="1"/>
        <item t="default"/>
      </items>
    </pivotField>
    <pivotField axis="axisRow" showAll="0">
      <items count="5">
        <item x="3"/>
        <item x="0"/>
        <item x="1"/>
        <item x="2"/>
        <item t="default"/>
      </items>
    </pivotField>
    <pivotField showAll="0"/>
    <pivotField showAll="0"/>
    <pivotField showAll="0">
      <items count="5">
        <item x="0"/>
        <item x="1"/>
        <item x="2"/>
        <item x="3"/>
        <item t="default"/>
      </items>
    </pivotField>
    <pivotField numFmtId="165" showAll="0"/>
    <pivotField dataField="1" showAll="0">
      <items count="7">
        <item x="1"/>
        <item x="0"/>
        <item x="2"/>
        <item x="4"/>
        <item x="3"/>
        <item x="5"/>
        <item t="default"/>
      </items>
    </pivotField>
    <pivotField showAll="0"/>
    <pivotField showAll="0">
      <items count="7">
        <item x="0"/>
        <item x="1"/>
        <item x="2"/>
        <item x="3"/>
        <item x="4"/>
        <item x="5"/>
        <item t="default"/>
      </items>
    </pivotField>
    <pivotField showAll="0"/>
    <pivotField showAll="0"/>
    <pivotField showAll="0">
      <items count="11">
        <item x="8"/>
        <item x="1"/>
        <item x="4"/>
        <item x="3"/>
        <item x="9"/>
        <item x="6"/>
        <item x="0"/>
        <item x="5"/>
        <item x="2"/>
        <item x="7"/>
        <item t="default"/>
      </items>
    </pivotField>
  </pivotFields>
  <rowFields count="1">
    <field x="7"/>
  </rowFields>
  <rowItems count="5">
    <i>
      <x/>
    </i>
    <i>
      <x v="1"/>
    </i>
    <i>
      <x v="2"/>
    </i>
    <i>
      <x v="3"/>
    </i>
    <i t="grand">
      <x/>
    </i>
  </rowItems>
  <colItems count="1">
    <i/>
  </colItems>
  <dataFields count="1">
    <dataField name="Sum of Fatalities" fld="12" baseField="0" baseItem="0"/>
  </dataFields>
  <chartFormats count="3">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8DD9F4-D9DF-C24A-931A-6F9F9AAF8E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1:E25" firstHeaderRow="1" firstDataRow="1" firstDataCol="1"/>
  <pivotFields count="18">
    <pivotField showAll="0"/>
    <pivotField showAll="0"/>
    <pivotField showAll="0"/>
    <pivotField showAll="0"/>
    <pivotField numFmtId="14" showAll="0">
      <items count="8">
        <item x="0"/>
        <item x="1"/>
        <item x="2"/>
        <item x="3"/>
        <item x="4"/>
        <item x="5"/>
        <item x="6"/>
        <item t="default"/>
      </items>
    </pivotField>
    <pivotField showAll="0">
      <items count="344">
        <item x="296"/>
        <item x="149"/>
        <item x="202"/>
        <item x="9"/>
        <item x="268"/>
        <item x="271"/>
        <item x="30"/>
        <item x="306"/>
        <item x="323"/>
        <item x="223"/>
        <item x="327"/>
        <item x="338"/>
        <item x="63"/>
        <item x="160"/>
        <item x="273"/>
        <item x="96"/>
        <item x="217"/>
        <item x="241"/>
        <item x="159"/>
        <item x="39"/>
        <item x="278"/>
        <item x="109"/>
        <item x="12"/>
        <item x="8"/>
        <item x="308"/>
        <item x="127"/>
        <item x="92"/>
        <item x="258"/>
        <item x="253"/>
        <item x="166"/>
        <item x="210"/>
        <item x="247"/>
        <item x="262"/>
        <item x="238"/>
        <item x="177"/>
        <item x="325"/>
        <item x="180"/>
        <item x="218"/>
        <item x="27"/>
        <item x="153"/>
        <item x="156"/>
        <item x="25"/>
        <item x="173"/>
        <item x="313"/>
        <item x="249"/>
        <item x="11"/>
        <item x="148"/>
        <item x="144"/>
        <item x="93"/>
        <item x="46"/>
        <item x="23"/>
        <item x="106"/>
        <item x="2"/>
        <item x="211"/>
        <item x="7"/>
        <item x="89"/>
        <item x="191"/>
        <item x="108"/>
        <item x="59"/>
        <item x="291"/>
        <item x="57"/>
        <item x="179"/>
        <item x="339"/>
        <item x="204"/>
        <item x="340"/>
        <item x="4"/>
        <item x="145"/>
        <item x="84"/>
        <item x="181"/>
        <item x="269"/>
        <item x="197"/>
        <item x="228"/>
        <item x="289"/>
        <item x="16"/>
        <item x="126"/>
        <item x="280"/>
        <item x="226"/>
        <item x="56"/>
        <item x="224"/>
        <item x="107"/>
        <item x="32"/>
        <item x="146"/>
        <item x="314"/>
        <item x="219"/>
        <item x="122"/>
        <item x="152"/>
        <item x="301"/>
        <item x="185"/>
        <item x="242"/>
        <item x="31"/>
        <item x="17"/>
        <item x="303"/>
        <item x="138"/>
        <item x="183"/>
        <item x="305"/>
        <item x="272"/>
        <item x="283"/>
        <item x="230"/>
        <item x="121"/>
        <item x="51"/>
        <item x="192"/>
        <item x="141"/>
        <item x="199"/>
        <item x="103"/>
        <item x="94"/>
        <item x="61"/>
        <item x="133"/>
        <item x="130"/>
        <item x="290"/>
        <item x="255"/>
        <item x="293"/>
        <item x="0"/>
        <item x="302"/>
        <item x="97"/>
        <item x="298"/>
        <item x="102"/>
        <item x="178"/>
        <item x="312"/>
        <item x="310"/>
        <item x="288"/>
        <item x="229"/>
        <item x="260"/>
        <item x="68"/>
        <item x="220"/>
        <item x="143"/>
        <item x="225"/>
        <item x="257"/>
        <item x="213"/>
        <item x="87"/>
        <item x="139"/>
        <item x="55"/>
        <item x="118"/>
        <item x="28"/>
        <item x="20"/>
        <item x="172"/>
        <item x="42"/>
        <item x="112"/>
        <item x="161"/>
        <item x="75"/>
        <item x="264"/>
        <item x="123"/>
        <item x="37"/>
        <item x="135"/>
        <item x="335"/>
        <item x="113"/>
        <item x="95"/>
        <item x="100"/>
        <item x="165"/>
        <item x="82"/>
        <item x="163"/>
        <item x="131"/>
        <item x="137"/>
        <item x="78"/>
        <item x="227"/>
        <item x="341"/>
        <item x="44"/>
        <item x="200"/>
        <item x="275"/>
        <item x="77"/>
        <item x="317"/>
        <item x="70"/>
        <item x="140"/>
        <item x="21"/>
        <item x="154"/>
        <item x="194"/>
        <item x="332"/>
        <item x="342"/>
        <item x="182"/>
        <item x="54"/>
        <item x="328"/>
        <item x="162"/>
        <item x="169"/>
        <item x="315"/>
        <item x="190"/>
        <item x="71"/>
        <item x="244"/>
        <item x="80"/>
        <item x="236"/>
        <item x="203"/>
        <item x="297"/>
        <item x="321"/>
        <item x="208"/>
        <item x="285"/>
        <item x="151"/>
        <item x="246"/>
        <item x="170"/>
        <item x="41"/>
        <item x="83"/>
        <item x="307"/>
        <item x="263"/>
        <item x="209"/>
        <item x="47"/>
        <item x="35"/>
        <item x="239"/>
        <item x="43"/>
        <item x="334"/>
        <item x="53"/>
        <item x="116"/>
        <item x="320"/>
        <item x="114"/>
        <item x="136"/>
        <item x="266"/>
        <item x="157"/>
        <item x="250"/>
        <item x="168"/>
        <item x="167"/>
        <item x="331"/>
        <item x="90"/>
        <item x="195"/>
        <item x="29"/>
        <item x="265"/>
        <item x="88"/>
        <item x="64"/>
        <item x="111"/>
        <item x="231"/>
        <item x="45"/>
        <item x="124"/>
        <item x="101"/>
        <item x="201"/>
        <item x="174"/>
        <item x="176"/>
        <item x="294"/>
        <item x="76"/>
        <item x="60"/>
        <item x="277"/>
        <item x="237"/>
        <item x="198"/>
        <item x="40"/>
        <item x="259"/>
        <item x="311"/>
        <item x="248"/>
        <item x="129"/>
        <item x="105"/>
        <item x="267"/>
        <item x="295"/>
        <item x="22"/>
        <item x="104"/>
        <item x="99"/>
        <item x="85"/>
        <item x="251"/>
        <item x="52"/>
        <item x="3"/>
        <item x="205"/>
        <item x="147"/>
        <item x="128"/>
        <item x="58"/>
        <item x="193"/>
        <item x="322"/>
        <item x="282"/>
        <item x="336"/>
        <item x="270"/>
        <item x="299"/>
        <item x="1"/>
        <item x="79"/>
        <item x="281"/>
        <item x="110"/>
        <item x="65"/>
        <item x="158"/>
        <item x="33"/>
        <item x="233"/>
        <item x="69"/>
        <item x="254"/>
        <item x="216"/>
        <item x="300"/>
        <item x="245"/>
        <item x="134"/>
        <item x="284"/>
        <item x="316"/>
        <item x="189"/>
        <item x="292"/>
        <item x="207"/>
        <item x="49"/>
        <item x="19"/>
        <item x="132"/>
        <item x="15"/>
        <item x="119"/>
        <item x="5"/>
        <item x="66"/>
        <item x="326"/>
        <item x="72"/>
        <item x="142"/>
        <item x="206"/>
        <item x="120"/>
        <item x="115"/>
        <item x="188"/>
        <item x="164"/>
        <item x="125"/>
        <item x="309"/>
        <item x="232"/>
        <item x="196"/>
        <item x="214"/>
        <item x="337"/>
        <item x="318"/>
        <item x="261"/>
        <item x="279"/>
        <item x="10"/>
        <item x="212"/>
        <item x="286"/>
        <item x="256"/>
        <item x="74"/>
        <item x="50"/>
        <item x="304"/>
        <item x="81"/>
        <item x="48"/>
        <item x="73"/>
        <item x="34"/>
        <item x="38"/>
        <item x="26"/>
        <item x="91"/>
        <item x="276"/>
        <item x="329"/>
        <item x="13"/>
        <item x="14"/>
        <item x="240"/>
        <item x="234"/>
        <item x="6"/>
        <item x="243"/>
        <item x="330"/>
        <item x="287"/>
        <item x="24"/>
        <item x="184"/>
        <item x="62"/>
        <item x="252"/>
        <item x="333"/>
        <item x="171"/>
        <item x="98"/>
        <item x="155"/>
        <item x="186"/>
        <item x="18"/>
        <item x="187"/>
        <item x="117"/>
        <item x="150"/>
        <item x="235"/>
        <item x="86"/>
        <item x="215"/>
        <item x="67"/>
        <item x="319"/>
        <item x="324"/>
        <item x="221"/>
        <item x="175"/>
        <item x="222"/>
        <item x="274"/>
        <item x="36"/>
        <item t="default"/>
      </items>
    </pivotField>
    <pivotField showAll="0">
      <items count="6">
        <item x="4"/>
        <item x="0"/>
        <item x="3"/>
        <item x="2"/>
        <item x="1"/>
        <item t="default"/>
      </items>
    </pivotField>
    <pivotField showAll="0"/>
    <pivotField showAll="0">
      <items count="4">
        <item x="0"/>
        <item x="2"/>
        <item x="1"/>
        <item t="default"/>
      </items>
    </pivotField>
    <pivotField showAll="0"/>
    <pivotField axis="axisRow" showAll="0">
      <items count="5">
        <item x="0"/>
        <item x="1"/>
        <item x="2"/>
        <item x="3"/>
        <item t="default"/>
      </items>
    </pivotField>
    <pivotField numFmtId="165" showAll="0"/>
    <pivotField dataField="1" showAll="0">
      <items count="7">
        <item x="1"/>
        <item x="0"/>
        <item x="2"/>
        <item x="4"/>
        <item x="3"/>
        <item x="5"/>
        <item t="default"/>
      </items>
    </pivotField>
    <pivotField showAll="0"/>
    <pivotField showAll="0">
      <items count="7">
        <item x="0"/>
        <item x="1"/>
        <item x="2"/>
        <item x="3"/>
        <item x="4"/>
        <item x="5"/>
        <item t="default"/>
      </items>
    </pivotField>
    <pivotField showAll="0"/>
    <pivotField showAll="0"/>
    <pivotField showAll="0">
      <items count="11">
        <item x="8"/>
        <item x="1"/>
        <item x="4"/>
        <item x="3"/>
        <item x="9"/>
        <item x="6"/>
        <item x="0"/>
        <item x="5"/>
        <item x="2"/>
        <item x="7"/>
        <item t="default"/>
      </items>
    </pivotField>
  </pivotFields>
  <rowFields count="1">
    <field x="10"/>
  </rowFields>
  <rowItems count="4">
    <i>
      <x v="1"/>
    </i>
    <i>
      <x v="2"/>
    </i>
    <i>
      <x v="3"/>
    </i>
    <i t="grand">
      <x/>
    </i>
  </rowItems>
  <colItems count="1">
    <i/>
  </colItems>
  <dataFields count="1">
    <dataField name="Sum of Fatalities" fld="1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76855E-CE69-D942-BF74-2AA4DFBD45E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0:R32" firstHeaderRow="1" firstDataRow="1" firstDataCol="1"/>
  <pivotFields count="18">
    <pivotField showAll="0"/>
    <pivotField showAll="0"/>
    <pivotField axis="axisRow" showAll="0">
      <items count="3">
        <item h="1" x="0"/>
        <item x="1"/>
        <item t="default"/>
      </items>
    </pivotField>
    <pivotField showAll="0"/>
    <pivotField numFmtId="14" showAll="0">
      <items count="8">
        <item x="0"/>
        <item x="1"/>
        <item x="2"/>
        <item x="3"/>
        <item x="4"/>
        <item x="5"/>
        <item x="6"/>
        <item t="default"/>
      </items>
    </pivotField>
    <pivotField showAll="0"/>
    <pivotField showAll="0">
      <items count="6">
        <item x="4"/>
        <item x="0"/>
        <item x="3"/>
        <item x="2"/>
        <item x="1"/>
        <item t="default"/>
      </items>
    </pivotField>
    <pivotField showAll="0">
      <items count="5">
        <item x="3"/>
        <item x="0"/>
        <item x="1"/>
        <item x="2"/>
        <item t="default"/>
      </items>
    </pivotField>
    <pivotField showAll="0">
      <items count="4">
        <item x="0"/>
        <item x="2"/>
        <item x="1"/>
        <item t="default"/>
      </items>
    </pivotField>
    <pivotField showAll="0"/>
    <pivotField showAll="0">
      <items count="5">
        <item x="0"/>
        <item x="1"/>
        <item x="2"/>
        <item x="3"/>
        <item t="default"/>
      </items>
    </pivotField>
    <pivotField numFmtId="165" showAll="0"/>
    <pivotField dataField="1" showAll="0">
      <items count="7">
        <item x="1"/>
        <item x="0"/>
        <item x="2"/>
        <item x="4"/>
        <item x="3"/>
        <item x="5"/>
        <item t="default"/>
      </items>
    </pivotField>
    <pivotField showAll="0"/>
    <pivotField showAll="0">
      <items count="7">
        <item x="0"/>
        <item x="1"/>
        <item x="2"/>
        <item x="3"/>
        <item x="4"/>
        <item x="5"/>
        <item t="default"/>
      </items>
    </pivotField>
    <pivotField showAll="0"/>
    <pivotField showAll="0">
      <items count="8">
        <item x="2"/>
        <item x="3"/>
        <item x="4"/>
        <item x="6"/>
        <item x="0"/>
        <item x="1"/>
        <item x="5"/>
        <item t="default"/>
      </items>
    </pivotField>
    <pivotField showAll="0">
      <items count="11">
        <item x="8"/>
        <item x="1"/>
        <item x="4"/>
        <item x="3"/>
        <item x="9"/>
        <item x="6"/>
        <item x="0"/>
        <item x="5"/>
        <item x="2"/>
        <item x="7"/>
        <item t="default"/>
      </items>
    </pivotField>
  </pivotFields>
  <rowFields count="1">
    <field x="2"/>
  </rowFields>
  <rowItems count="2">
    <i>
      <x v="1"/>
    </i>
    <i t="grand">
      <x/>
    </i>
  </rowItems>
  <colItems count="1">
    <i/>
  </colItems>
  <dataFields count="1">
    <dataField name="Sum of Fatalities" fld="12"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CE9A42-CE10-4748-AAC4-D4EDA96B90A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3:N34" firstHeaderRow="0" firstDataRow="1" firstDataCol="0"/>
  <pivotFields count="18">
    <pivotField showAll="0"/>
    <pivotField showAll="0"/>
    <pivotField showAll="0">
      <items count="3">
        <item x="0"/>
        <item x="1"/>
        <item t="default"/>
      </items>
    </pivotField>
    <pivotField dataField="1" showAll="0"/>
    <pivotField numFmtId="14" showAll="0">
      <items count="8">
        <item x="0"/>
        <item x="1"/>
        <item x="2"/>
        <item x="3"/>
        <item x="4"/>
        <item x="5"/>
        <item x="6"/>
        <item t="default"/>
      </items>
    </pivotField>
    <pivotField showAll="0"/>
    <pivotField showAll="0">
      <items count="6">
        <item x="4"/>
        <item x="0"/>
        <item x="3"/>
        <item x="2"/>
        <item x="1"/>
        <item t="default"/>
      </items>
    </pivotField>
    <pivotField showAll="0">
      <items count="5">
        <item x="3"/>
        <item x="0"/>
        <item x="1"/>
        <item x="2"/>
        <item t="default"/>
      </items>
    </pivotField>
    <pivotField showAll="0">
      <items count="4">
        <item x="0"/>
        <item x="2"/>
        <item x="1"/>
        <item t="default"/>
      </items>
    </pivotField>
    <pivotField showAll="0"/>
    <pivotField showAll="0">
      <items count="5">
        <item x="0"/>
        <item x="1"/>
        <item x="2"/>
        <item x="3"/>
        <item t="default"/>
      </items>
    </pivotField>
    <pivotField numFmtId="165" showAll="0"/>
    <pivotField dataField="1" showAll="0">
      <items count="7">
        <item x="1"/>
        <item x="0"/>
        <item x="2"/>
        <item x="4"/>
        <item x="3"/>
        <item x="5"/>
        <item t="default"/>
      </items>
    </pivotField>
    <pivotField dataField="1" showAll="0"/>
    <pivotField showAll="0">
      <items count="7">
        <item x="0"/>
        <item x="1"/>
        <item x="2"/>
        <item x="3"/>
        <item x="4"/>
        <item x="5"/>
        <item t="default"/>
      </items>
    </pivotField>
    <pivotField showAll="0"/>
    <pivotField showAll="0"/>
    <pivotField showAll="0">
      <items count="11">
        <item x="8"/>
        <item x="1"/>
        <item x="4"/>
        <item x="3"/>
        <item x="9"/>
        <item x="6"/>
        <item x="0"/>
        <item x="5"/>
        <item x="2"/>
        <item x="7"/>
        <item t="default"/>
      </items>
    </pivotField>
  </pivotFields>
  <rowItems count="1">
    <i/>
  </rowItems>
  <colFields count="1">
    <field x="-2"/>
  </colFields>
  <colItems count="3">
    <i>
      <x/>
    </i>
    <i i="1">
      <x v="1"/>
    </i>
    <i i="2">
      <x v="2"/>
    </i>
  </colItems>
  <dataFields count="3">
    <dataField name="Sum of Fatalities" fld="12" baseField="0" baseItem="0"/>
    <dataField name="Count of Accident_ID" fld="3" subtotal="count" baseField="0" baseItem="0"/>
    <dataField name="Sum of Injuries" fld="13"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6500AD-9D3D-7E4C-9481-27EB649079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1:N15" firstHeaderRow="1" firstDataRow="1" firstDataCol="1"/>
  <pivotFields count="18">
    <pivotField showAll="0"/>
    <pivotField showAll="0"/>
    <pivotField showAll="0"/>
    <pivotField showAll="0"/>
    <pivotField numFmtId="14" showAll="0">
      <items count="8">
        <item x="0"/>
        <item x="1"/>
        <item x="2"/>
        <item x="3"/>
        <item x="4"/>
        <item x="5"/>
        <item x="6"/>
        <item t="default"/>
      </items>
    </pivotField>
    <pivotField showAll="0"/>
    <pivotField showAll="0">
      <items count="6">
        <item x="4"/>
        <item x="0"/>
        <item x="3"/>
        <item x="2"/>
        <item x="1"/>
        <item t="default"/>
      </items>
    </pivotField>
    <pivotField showAll="0">
      <items count="5">
        <item x="3"/>
        <item x="0"/>
        <item x="1"/>
        <item x="2"/>
        <item t="default"/>
      </items>
    </pivotField>
    <pivotField axis="axisRow" showAll="0">
      <items count="4">
        <item x="0"/>
        <item x="2"/>
        <item x="1"/>
        <item t="default"/>
      </items>
    </pivotField>
    <pivotField showAll="0"/>
    <pivotField showAll="0">
      <items count="5">
        <item x="0"/>
        <item x="1"/>
        <item x="2"/>
        <item x="3"/>
        <item t="default"/>
      </items>
    </pivotField>
    <pivotField numFmtId="165" showAll="0"/>
    <pivotField dataField="1" showAll="0">
      <items count="7">
        <item x="1"/>
        <item x="0"/>
        <item x="2"/>
        <item x="4"/>
        <item x="3"/>
        <item x="5"/>
        <item t="default"/>
      </items>
    </pivotField>
    <pivotField showAll="0"/>
    <pivotField showAll="0">
      <items count="7">
        <item x="0"/>
        <item x="1"/>
        <item x="2"/>
        <item x="3"/>
        <item x="4"/>
        <item x="5"/>
        <item t="default"/>
      </items>
    </pivotField>
    <pivotField showAll="0"/>
    <pivotField showAll="0"/>
    <pivotField showAll="0">
      <items count="11">
        <item x="8"/>
        <item x="1"/>
        <item x="4"/>
        <item x="3"/>
        <item x="9"/>
        <item x="6"/>
        <item x="0"/>
        <item x="5"/>
        <item x="2"/>
        <item x="7"/>
        <item t="default"/>
      </items>
    </pivotField>
  </pivotFields>
  <rowFields count="1">
    <field x="8"/>
  </rowFields>
  <rowItems count="4">
    <i>
      <x/>
    </i>
    <i>
      <x v="1"/>
    </i>
    <i>
      <x v="2"/>
    </i>
    <i t="grand">
      <x/>
    </i>
  </rowItems>
  <colItems count="1">
    <i/>
  </colItems>
  <dataFields count="1">
    <dataField name="Sum of Fatalities" fld="1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8" count="1" selected="0">
            <x v="0"/>
          </reference>
        </references>
      </pivotArea>
    </chartFormat>
    <chartFormat chart="5" format="10">
      <pivotArea type="data" outline="0" fieldPosition="0">
        <references count="2">
          <reference field="4294967294" count="1" selected="0">
            <x v="0"/>
          </reference>
          <reference field="8" count="1" selected="0">
            <x v="1"/>
          </reference>
        </references>
      </pivotArea>
    </chartFormat>
    <chartFormat chart="5" format="11">
      <pivotArea type="data" outline="0" fieldPosition="0">
        <references count="2">
          <reference field="4294967294" count="1" selected="0">
            <x v="0"/>
          </reference>
          <reference field="8"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B2189-6CA6-564A-9FB6-13C7684FEAB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23:Q26" firstHeaderRow="1" firstDataRow="1" firstDataCol="1"/>
  <pivotFields count="18">
    <pivotField showAll="0"/>
    <pivotField showAll="0"/>
    <pivotField axis="axisRow" showAll="0">
      <items count="3">
        <item x="0"/>
        <item x="1"/>
        <item t="default"/>
      </items>
    </pivotField>
    <pivotField showAll="0"/>
    <pivotField numFmtId="14" showAll="0">
      <items count="8">
        <item x="0"/>
        <item x="1"/>
        <item x="2"/>
        <item x="3"/>
        <item x="4"/>
        <item x="5"/>
        <item x="6"/>
        <item t="default"/>
      </items>
    </pivotField>
    <pivotField showAll="0"/>
    <pivotField showAll="0">
      <items count="6">
        <item x="4"/>
        <item x="0"/>
        <item x="3"/>
        <item x="2"/>
        <item x="1"/>
        <item t="default"/>
      </items>
    </pivotField>
    <pivotField showAll="0">
      <items count="5">
        <item x="3"/>
        <item x="0"/>
        <item x="1"/>
        <item x="2"/>
        <item t="default"/>
      </items>
    </pivotField>
    <pivotField showAll="0">
      <items count="4">
        <item x="0"/>
        <item x="2"/>
        <item x="1"/>
        <item t="default"/>
      </items>
    </pivotField>
    <pivotField showAll="0"/>
    <pivotField showAll="0">
      <items count="5">
        <item x="0"/>
        <item x="1"/>
        <item x="2"/>
        <item x="3"/>
        <item t="default"/>
      </items>
    </pivotField>
    <pivotField numFmtId="165" showAll="0"/>
    <pivotField dataField="1" showAll="0">
      <items count="7">
        <item x="1"/>
        <item x="0"/>
        <item x="2"/>
        <item x="4"/>
        <item x="3"/>
        <item x="5"/>
        <item t="default"/>
      </items>
    </pivotField>
    <pivotField showAll="0"/>
    <pivotField showAll="0">
      <items count="7">
        <item x="0"/>
        <item x="1"/>
        <item x="2"/>
        <item x="3"/>
        <item x="4"/>
        <item x="5"/>
        <item t="default"/>
      </items>
    </pivotField>
    <pivotField showAll="0"/>
    <pivotField showAll="0">
      <items count="8">
        <item x="2"/>
        <item x="3"/>
        <item x="4"/>
        <item x="6"/>
        <item x="0"/>
        <item x="1"/>
        <item x="5"/>
        <item t="default"/>
      </items>
    </pivotField>
    <pivotField showAll="0">
      <items count="11">
        <item x="8"/>
        <item x="1"/>
        <item x="4"/>
        <item x="3"/>
        <item x="9"/>
        <item x="6"/>
        <item x="0"/>
        <item x="5"/>
        <item x="2"/>
        <item x="7"/>
        <item t="default"/>
      </items>
    </pivotField>
  </pivotFields>
  <rowFields count="1">
    <field x="2"/>
  </rowFields>
  <rowItems count="3">
    <i>
      <x/>
    </i>
    <i>
      <x v="1"/>
    </i>
    <i t="grand">
      <x/>
    </i>
  </rowItems>
  <colItems count="1">
    <i/>
  </colItems>
  <dataFields count="1">
    <dataField name="Sum of Fatalities" fld="12"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F05DE7-6E28-7D49-8BC5-CF06F33F83D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1:K25" firstHeaderRow="1" firstDataRow="1" firstDataCol="1"/>
  <pivotFields count="18">
    <pivotField showAll="0"/>
    <pivotField showAll="0"/>
    <pivotField showAll="0">
      <items count="3">
        <item x="0"/>
        <item x="1"/>
        <item t="default"/>
      </items>
    </pivotField>
    <pivotField dataField="1" showAll="0"/>
    <pivotField numFmtId="14" showAll="0">
      <items count="8">
        <item x="0"/>
        <item x="1"/>
        <item x="2"/>
        <item x="3"/>
        <item x="4"/>
        <item x="5"/>
        <item x="6"/>
        <item t="default"/>
      </items>
    </pivotField>
    <pivotField showAll="0"/>
    <pivotField showAll="0">
      <items count="6">
        <item x="4"/>
        <item x="0"/>
        <item x="3"/>
        <item x="2"/>
        <item x="1"/>
        <item t="default"/>
      </items>
    </pivotField>
    <pivotField showAll="0">
      <items count="5">
        <item x="3"/>
        <item x="0"/>
        <item x="1"/>
        <item x="2"/>
        <item t="default"/>
      </items>
    </pivotField>
    <pivotField axis="axisRow" showAll="0">
      <items count="4">
        <item x="0"/>
        <item x="2"/>
        <item x="1"/>
        <item t="default"/>
      </items>
    </pivotField>
    <pivotField showAll="0"/>
    <pivotField showAll="0">
      <items count="5">
        <item x="0"/>
        <item x="1"/>
        <item x="2"/>
        <item x="3"/>
        <item t="default"/>
      </items>
    </pivotField>
    <pivotField numFmtId="165" showAll="0"/>
    <pivotField showAll="0">
      <items count="7">
        <item x="1"/>
        <item x="0"/>
        <item x="2"/>
        <item x="4"/>
        <item x="3"/>
        <item x="5"/>
        <item t="default"/>
      </items>
    </pivotField>
    <pivotField showAll="0"/>
    <pivotField showAll="0">
      <items count="7">
        <item x="0"/>
        <item x="1"/>
        <item x="2"/>
        <item x="3"/>
        <item x="4"/>
        <item x="5"/>
        <item t="default"/>
      </items>
    </pivotField>
    <pivotField showAll="0"/>
    <pivotField showAll="0"/>
    <pivotField showAll="0">
      <items count="11">
        <item x="8"/>
        <item x="1"/>
        <item x="4"/>
        <item x="3"/>
        <item x="9"/>
        <item x="6"/>
        <item x="0"/>
        <item x="5"/>
        <item x="2"/>
        <item x="7"/>
        <item t="default"/>
      </items>
    </pivotField>
  </pivotFields>
  <rowFields count="1">
    <field x="8"/>
  </rowFields>
  <rowItems count="4">
    <i>
      <x/>
    </i>
    <i>
      <x v="1"/>
    </i>
    <i>
      <x v="2"/>
    </i>
    <i t="grand">
      <x/>
    </i>
  </rowItems>
  <colItems count="1">
    <i/>
  </colItems>
  <dataFields count="1">
    <dataField name="Count of Accident_ID" fld="3" subtotal="count"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39D1D8-9097-7241-B481-DED48ACE6E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9:F15" firstHeaderRow="0" firstDataRow="1" firstDataCol="1"/>
  <pivotFields count="18">
    <pivotField showAll="0">
      <items count="6">
        <item x="0"/>
        <item x="4"/>
        <item x="1"/>
        <item x="2"/>
        <item x="3"/>
        <item t="default"/>
      </items>
    </pivotField>
    <pivotField showAll="0">
      <items count="31">
        <item x="7"/>
        <item x="13"/>
        <item x="17"/>
        <item x="3"/>
        <item x="19"/>
        <item x="20"/>
        <item x="24"/>
        <item x="22"/>
        <item x="4"/>
        <item x="27"/>
        <item x="28"/>
        <item x="26"/>
        <item x="10"/>
        <item x="6"/>
        <item x="14"/>
        <item x="16"/>
        <item x="12"/>
        <item x="15"/>
        <item x="23"/>
        <item x="18"/>
        <item x="11"/>
        <item x="8"/>
        <item x="0"/>
        <item x="1"/>
        <item x="21"/>
        <item x="9"/>
        <item x="29"/>
        <item x="5"/>
        <item x="2"/>
        <item x="25"/>
        <item t="default"/>
      </items>
    </pivotField>
    <pivotField showAll="0">
      <items count="3">
        <item x="0"/>
        <item x="1"/>
        <item t="default"/>
      </items>
    </pivotField>
    <pivotField dataField="1" showAll="0">
      <items count="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numFmtId="14" showAll="0">
      <items count="8">
        <item x="0"/>
        <item x="1"/>
        <item x="2"/>
        <item x="3"/>
        <item x="4"/>
        <item x="5"/>
        <item x="6"/>
        <item t="default"/>
      </items>
    </pivotField>
    <pivotField showAll="0">
      <items count="344">
        <item x="296"/>
        <item x="149"/>
        <item x="202"/>
        <item x="9"/>
        <item x="268"/>
        <item x="271"/>
        <item x="30"/>
        <item x="306"/>
        <item x="323"/>
        <item x="223"/>
        <item x="327"/>
        <item x="338"/>
        <item x="63"/>
        <item x="160"/>
        <item x="273"/>
        <item x="96"/>
        <item x="217"/>
        <item x="241"/>
        <item x="159"/>
        <item x="39"/>
        <item x="278"/>
        <item x="109"/>
        <item x="12"/>
        <item x="8"/>
        <item x="308"/>
        <item x="127"/>
        <item x="92"/>
        <item x="258"/>
        <item x="253"/>
        <item x="166"/>
        <item x="210"/>
        <item x="247"/>
        <item x="262"/>
        <item x="238"/>
        <item x="177"/>
        <item x="325"/>
        <item x="180"/>
        <item x="218"/>
        <item x="27"/>
        <item x="153"/>
        <item x="156"/>
        <item x="25"/>
        <item x="173"/>
        <item x="313"/>
        <item x="249"/>
        <item x="11"/>
        <item x="148"/>
        <item x="144"/>
        <item x="93"/>
        <item x="46"/>
        <item x="23"/>
        <item x="106"/>
        <item x="2"/>
        <item x="211"/>
        <item x="7"/>
        <item x="89"/>
        <item x="191"/>
        <item x="108"/>
        <item x="59"/>
        <item x="291"/>
        <item x="57"/>
        <item x="179"/>
        <item x="339"/>
        <item x="204"/>
        <item x="340"/>
        <item x="4"/>
        <item x="145"/>
        <item x="84"/>
        <item x="181"/>
        <item x="269"/>
        <item x="197"/>
        <item x="228"/>
        <item x="289"/>
        <item x="16"/>
        <item x="126"/>
        <item x="280"/>
        <item x="226"/>
        <item x="56"/>
        <item x="224"/>
        <item x="107"/>
        <item x="32"/>
        <item x="146"/>
        <item x="314"/>
        <item x="219"/>
        <item x="122"/>
        <item x="152"/>
        <item x="301"/>
        <item x="185"/>
        <item x="242"/>
        <item x="31"/>
        <item x="17"/>
        <item x="303"/>
        <item x="138"/>
        <item x="183"/>
        <item x="305"/>
        <item x="272"/>
        <item x="283"/>
        <item x="230"/>
        <item x="121"/>
        <item x="51"/>
        <item x="192"/>
        <item x="141"/>
        <item x="199"/>
        <item x="103"/>
        <item x="94"/>
        <item x="61"/>
        <item x="133"/>
        <item x="130"/>
        <item x="290"/>
        <item x="255"/>
        <item x="293"/>
        <item x="0"/>
        <item x="302"/>
        <item x="97"/>
        <item x="298"/>
        <item x="102"/>
        <item x="178"/>
        <item x="312"/>
        <item x="310"/>
        <item x="288"/>
        <item x="229"/>
        <item x="260"/>
        <item x="68"/>
        <item x="220"/>
        <item x="143"/>
        <item x="225"/>
        <item x="257"/>
        <item x="213"/>
        <item x="87"/>
        <item x="139"/>
        <item x="55"/>
        <item x="118"/>
        <item x="28"/>
        <item x="20"/>
        <item x="172"/>
        <item x="42"/>
        <item x="112"/>
        <item x="161"/>
        <item x="75"/>
        <item x="264"/>
        <item x="123"/>
        <item x="37"/>
        <item x="135"/>
        <item x="335"/>
        <item x="113"/>
        <item x="95"/>
        <item x="100"/>
        <item x="165"/>
        <item x="82"/>
        <item x="163"/>
        <item x="131"/>
        <item x="137"/>
        <item x="78"/>
        <item x="227"/>
        <item x="341"/>
        <item x="44"/>
        <item x="200"/>
        <item x="275"/>
        <item x="77"/>
        <item x="317"/>
        <item x="70"/>
        <item x="140"/>
        <item x="21"/>
        <item x="154"/>
        <item x="194"/>
        <item x="332"/>
        <item x="342"/>
        <item x="182"/>
        <item x="54"/>
        <item x="328"/>
        <item x="162"/>
        <item x="169"/>
        <item x="315"/>
        <item x="190"/>
        <item x="71"/>
        <item x="244"/>
        <item x="80"/>
        <item x="236"/>
        <item x="203"/>
        <item x="297"/>
        <item x="321"/>
        <item x="208"/>
        <item x="285"/>
        <item x="151"/>
        <item x="246"/>
        <item x="170"/>
        <item x="41"/>
        <item x="83"/>
        <item x="307"/>
        <item x="263"/>
        <item x="209"/>
        <item x="47"/>
        <item x="35"/>
        <item x="239"/>
        <item x="43"/>
        <item x="334"/>
        <item x="53"/>
        <item x="116"/>
        <item x="320"/>
        <item x="114"/>
        <item x="136"/>
        <item x="266"/>
        <item x="157"/>
        <item x="250"/>
        <item x="168"/>
        <item x="167"/>
        <item x="331"/>
        <item x="90"/>
        <item x="195"/>
        <item x="29"/>
        <item x="265"/>
        <item x="88"/>
        <item x="64"/>
        <item x="111"/>
        <item x="231"/>
        <item x="45"/>
        <item x="124"/>
        <item x="101"/>
        <item x="201"/>
        <item x="174"/>
        <item x="176"/>
        <item x="294"/>
        <item x="76"/>
        <item x="60"/>
        <item x="277"/>
        <item x="237"/>
        <item x="198"/>
        <item x="40"/>
        <item x="259"/>
        <item x="311"/>
        <item x="248"/>
        <item x="129"/>
        <item x="105"/>
        <item x="267"/>
        <item x="295"/>
        <item x="22"/>
        <item x="104"/>
        <item x="99"/>
        <item x="85"/>
        <item x="251"/>
        <item x="52"/>
        <item x="3"/>
        <item x="205"/>
        <item x="147"/>
        <item x="128"/>
        <item x="58"/>
        <item x="193"/>
        <item x="322"/>
        <item x="282"/>
        <item x="336"/>
        <item x="270"/>
        <item x="299"/>
        <item x="1"/>
        <item x="79"/>
        <item x="281"/>
        <item x="110"/>
        <item x="65"/>
        <item x="158"/>
        <item x="33"/>
        <item x="233"/>
        <item x="69"/>
        <item x="254"/>
        <item x="216"/>
        <item x="300"/>
        <item x="245"/>
        <item x="134"/>
        <item x="284"/>
        <item x="316"/>
        <item x="189"/>
        <item x="292"/>
        <item x="207"/>
        <item x="49"/>
        <item x="19"/>
        <item x="132"/>
        <item x="15"/>
        <item x="119"/>
        <item x="5"/>
        <item x="66"/>
        <item x="326"/>
        <item x="72"/>
        <item x="142"/>
        <item x="206"/>
        <item x="120"/>
        <item x="115"/>
        <item x="188"/>
        <item x="164"/>
        <item x="125"/>
        <item x="309"/>
        <item x="232"/>
        <item x="196"/>
        <item x="214"/>
        <item x="337"/>
        <item x="318"/>
        <item x="261"/>
        <item x="279"/>
        <item x="10"/>
        <item x="212"/>
        <item x="286"/>
        <item x="256"/>
        <item x="74"/>
        <item x="50"/>
        <item x="304"/>
        <item x="81"/>
        <item x="48"/>
        <item x="73"/>
        <item x="34"/>
        <item x="38"/>
        <item x="26"/>
        <item x="91"/>
        <item x="276"/>
        <item x="329"/>
        <item x="13"/>
        <item x="14"/>
        <item x="240"/>
        <item x="234"/>
        <item x="6"/>
        <item x="243"/>
        <item x="330"/>
        <item x="287"/>
        <item x="24"/>
        <item x="184"/>
        <item x="62"/>
        <item x="252"/>
        <item x="333"/>
        <item x="171"/>
        <item x="98"/>
        <item x="155"/>
        <item x="186"/>
        <item x="18"/>
        <item x="187"/>
        <item x="117"/>
        <item x="150"/>
        <item x="235"/>
        <item x="86"/>
        <item x="215"/>
        <item x="67"/>
        <item x="319"/>
        <item x="324"/>
        <item x="221"/>
        <item x="175"/>
        <item x="222"/>
        <item x="274"/>
        <item x="36"/>
        <item t="default"/>
      </items>
    </pivotField>
    <pivotField axis="axisRow" showAll="0">
      <items count="6">
        <item x="4"/>
        <item x="0"/>
        <item x="3"/>
        <item x="2"/>
        <item x="1"/>
        <item t="default"/>
      </items>
    </pivotField>
    <pivotField showAll="0">
      <items count="5">
        <item x="3"/>
        <item x="0"/>
        <item x="1"/>
        <item x="2"/>
        <item t="default"/>
      </items>
    </pivotField>
    <pivotField showAll="0">
      <items count="4">
        <item x="0"/>
        <item h="1" x="2"/>
        <item h="1" x="1"/>
        <item t="default"/>
      </items>
    </pivotField>
    <pivotField showAll="0">
      <items count="3">
        <item x="0"/>
        <item x="1"/>
        <item t="default"/>
      </items>
    </pivotField>
    <pivotField showAll="0">
      <items count="5">
        <item x="0"/>
        <item x="1"/>
        <item x="2"/>
        <item x="3"/>
        <item t="default"/>
      </items>
    </pivotField>
    <pivotField numFmtId="165" showAll="0">
      <items count="81">
        <item x="32"/>
        <item x="79"/>
        <item x="9"/>
        <item x="3"/>
        <item x="28"/>
        <item x="34"/>
        <item x="70"/>
        <item x="31"/>
        <item x="29"/>
        <item x="22"/>
        <item x="52"/>
        <item x="35"/>
        <item x="76"/>
        <item x="65"/>
        <item x="12"/>
        <item x="56"/>
        <item x="2"/>
        <item x="33"/>
        <item x="26"/>
        <item x="51"/>
        <item x="62"/>
        <item x="64"/>
        <item x="63"/>
        <item x="71"/>
        <item x="68"/>
        <item x="27"/>
        <item x="4"/>
        <item x="36"/>
        <item x="7"/>
        <item x="61"/>
        <item x="11"/>
        <item x="37"/>
        <item x="8"/>
        <item x="59"/>
        <item x="10"/>
        <item x="58"/>
        <item x="25"/>
        <item x="13"/>
        <item x="74"/>
        <item x="5"/>
        <item x="39"/>
        <item x="73"/>
        <item x="45"/>
        <item x="60"/>
        <item x="40"/>
        <item x="78"/>
        <item x="41"/>
        <item x="43"/>
        <item x="54"/>
        <item x="16"/>
        <item x="49"/>
        <item x="47"/>
        <item x="18"/>
        <item x="42"/>
        <item x="23"/>
        <item x="57"/>
        <item x="77"/>
        <item x="67"/>
        <item x="72"/>
        <item x="6"/>
        <item x="30"/>
        <item x="66"/>
        <item x="15"/>
        <item x="0"/>
        <item x="20"/>
        <item x="44"/>
        <item x="55"/>
        <item x="48"/>
        <item x="46"/>
        <item x="14"/>
        <item x="21"/>
        <item x="38"/>
        <item x="53"/>
        <item x="24"/>
        <item x="19"/>
        <item x="1"/>
        <item x="69"/>
        <item x="50"/>
        <item x="17"/>
        <item x="75"/>
        <item t="default"/>
      </items>
    </pivotField>
    <pivotField showAll="0">
      <items count="7">
        <item x="1"/>
        <item h="1" x="0"/>
        <item h="1" x="2"/>
        <item h="1" x="4"/>
        <item h="1" x="3"/>
        <item h="1" x="5"/>
        <item t="default"/>
      </items>
    </pivotField>
    <pivotField dataField="1" showAll="0">
      <items count="8">
        <item x="0"/>
        <item x="6"/>
        <item x="5"/>
        <item x="3"/>
        <item x="2"/>
        <item x="4"/>
        <item x="1"/>
        <item t="default"/>
      </items>
    </pivotField>
    <pivotField showAll="0">
      <items count="7">
        <item x="0"/>
        <item x="1"/>
        <item x="2"/>
        <item x="3"/>
        <item x="4"/>
        <item x="5"/>
        <item t="default"/>
      </items>
    </pivotField>
    <pivotField showAll="0"/>
    <pivotField showAll="0"/>
    <pivotField showAll="0">
      <items count="11">
        <item x="8"/>
        <item x="1"/>
        <item x="4"/>
        <item x="3"/>
        <item x="9"/>
        <item x="6"/>
        <item x="0"/>
        <item x="5"/>
        <item x="2"/>
        <item x="7"/>
        <item t="default"/>
      </items>
    </pivotField>
  </pivotFields>
  <rowFields count="1">
    <field x="6"/>
  </rowFields>
  <rowItems count="6">
    <i>
      <x/>
    </i>
    <i>
      <x v="1"/>
    </i>
    <i>
      <x v="2"/>
    </i>
    <i>
      <x v="3"/>
    </i>
    <i>
      <x v="4"/>
    </i>
    <i t="grand">
      <x/>
    </i>
  </rowItems>
  <colFields count="1">
    <field x="-2"/>
  </colFields>
  <colItems count="2">
    <i>
      <x/>
    </i>
    <i i="1">
      <x v="1"/>
    </i>
  </colItems>
  <dataFields count="2">
    <dataField name="Count of Accident_ID" fld="3" subtotal="count" baseField="0" baseItem="0"/>
    <dataField name="Sum of Injuries" fld="13"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6"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0E4AC6-A098-D843-9AEE-A467CCA4E48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9:H47" firstHeaderRow="1" firstDataRow="1" firstDataCol="1"/>
  <pivotFields count="18">
    <pivotField showAll="0"/>
    <pivotField showAll="0"/>
    <pivotField showAll="0"/>
    <pivotField showAll="0"/>
    <pivotField numFmtId="14" showAll="0">
      <items count="8">
        <item x="0"/>
        <item x="1"/>
        <item x="2"/>
        <item x="3"/>
        <item x="4"/>
        <item x="5"/>
        <item x="6"/>
        <item t="default"/>
      </items>
    </pivotField>
    <pivotField showAll="0"/>
    <pivotField showAll="0">
      <items count="6">
        <item x="4"/>
        <item x="0"/>
        <item x="3"/>
        <item x="2"/>
        <item x="1"/>
        <item t="default"/>
      </items>
    </pivotField>
    <pivotField showAll="0">
      <items count="5">
        <item x="3"/>
        <item x="0"/>
        <item x="1"/>
        <item x="2"/>
        <item t="default"/>
      </items>
    </pivotField>
    <pivotField showAll="0">
      <items count="4">
        <item x="0"/>
        <item x="2"/>
        <item x="1"/>
        <item t="default"/>
      </items>
    </pivotField>
    <pivotField showAll="0"/>
    <pivotField showAll="0">
      <items count="5">
        <item x="0"/>
        <item x="1"/>
        <item x="2"/>
        <item x="3"/>
        <item t="default"/>
      </items>
    </pivotField>
    <pivotField numFmtId="165" showAll="0"/>
    <pivotField dataField="1" showAll="0">
      <items count="7">
        <item x="1"/>
        <item x="0"/>
        <item x="2"/>
        <item x="4"/>
        <item x="3"/>
        <item x="5"/>
        <item t="default"/>
      </items>
    </pivotField>
    <pivotField showAll="0"/>
    <pivotField showAll="0">
      <items count="7">
        <item x="0"/>
        <item x="1"/>
        <item x="2"/>
        <item x="3"/>
        <item x="4"/>
        <item x="5"/>
        <item t="default"/>
      </items>
    </pivotField>
    <pivotField showAll="0"/>
    <pivotField axis="axisRow" showAll="0">
      <items count="8">
        <item x="2"/>
        <item x="3"/>
        <item x="4"/>
        <item x="6"/>
        <item x="0"/>
        <item x="1"/>
        <item x="5"/>
        <item t="default"/>
      </items>
    </pivotField>
    <pivotField showAll="0">
      <items count="11">
        <item x="8"/>
        <item x="1"/>
        <item x="4"/>
        <item x="3"/>
        <item x="9"/>
        <item x="6"/>
        <item x="0"/>
        <item x="5"/>
        <item x="2"/>
        <item x="7"/>
        <item t="default"/>
      </items>
    </pivotField>
  </pivotFields>
  <rowFields count="1">
    <field x="16"/>
  </rowFields>
  <rowItems count="8">
    <i>
      <x/>
    </i>
    <i>
      <x v="1"/>
    </i>
    <i>
      <x v="2"/>
    </i>
    <i>
      <x v="3"/>
    </i>
    <i>
      <x v="4"/>
    </i>
    <i>
      <x v="5"/>
    </i>
    <i>
      <x v="6"/>
    </i>
    <i t="grand">
      <x/>
    </i>
  </rowItems>
  <colItems count="1">
    <i/>
  </colItems>
  <dataFields count="1">
    <dataField name="Sum of Fatalities" fld="12"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B009FA-362A-7345-83B9-32FB274D224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F39" firstHeaderRow="1" firstDataRow="1" firstDataCol="1"/>
  <pivotFields count="18">
    <pivotField showAll="0"/>
    <pivotField showAll="0"/>
    <pivotField showAll="0"/>
    <pivotField showAll="0"/>
    <pivotField numFmtId="14" showAll="0">
      <items count="8">
        <item x="0"/>
        <item x="1"/>
        <item x="2"/>
        <item x="3"/>
        <item x="4"/>
        <item x="5"/>
        <item x="6"/>
        <item t="default"/>
      </items>
    </pivotField>
    <pivotField showAll="0"/>
    <pivotField showAll="0">
      <items count="6">
        <item x="4"/>
        <item x="0"/>
        <item x="3"/>
        <item x="2"/>
        <item x="1"/>
        <item t="default"/>
      </items>
    </pivotField>
    <pivotField showAll="0">
      <items count="5">
        <item x="3"/>
        <item x="0"/>
        <item x="1"/>
        <item x="2"/>
        <item t="default"/>
      </items>
    </pivotField>
    <pivotField showAll="0">
      <items count="4">
        <item x="0"/>
        <item x="2"/>
        <item x="1"/>
        <item t="default"/>
      </items>
    </pivotField>
    <pivotField showAll="0"/>
    <pivotField showAll="0">
      <items count="5">
        <item x="0"/>
        <item x="1"/>
        <item x="2"/>
        <item x="3"/>
        <item t="default"/>
      </items>
    </pivotField>
    <pivotField numFmtId="165" showAll="0"/>
    <pivotField dataField="1" showAll="0">
      <items count="7">
        <item x="1"/>
        <item x="0"/>
        <item x="2"/>
        <item x="4"/>
        <item x="3"/>
        <item x="5"/>
        <item t="default"/>
      </items>
    </pivotField>
    <pivotField showAll="0"/>
    <pivotField showAll="0">
      <items count="7">
        <item x="0"/>
        <item x="1"/>
        <item x="2"/>
        <item x="3"/>
        <item x="4"/>
        <item x="5"/>
        <item t="default"/>
      </items>
    </pivotField>
    <pivotField showAll="0"/>
    <pivotField axis="axisRow" showAll="0">
      <items count="8">
        <item x="2"/>
        <item x="3"/>
        <item x="4"/>
        <item x="6"/>
        <item x="0"/>
        <item x="1"/>
        <item x="5"/>
        <item t="default"/>
      </items>
    </pivotField>
    <pivotField showAll="0">
      <items count="11">
        <item x="8"/>
        <item x="1"/>
        <item x="4"/>
        <item x="3"/>
        <item x="9"/>
        <item x="6"/>
        <item x="0"/>
        <item x="5"/>
        <item x="2"/>
        <item x="7"/>
        <item t="default"/>
      </items>
    </pivotField>
  </pivotFields>
  <rowFields count="1">
    <field x="16"/>
  </rowFields>
  <rowItems count="8">
    <i>
      <x/>
    </i>
    <i>
      <x v="1"/>
    </i>
    <i>
      <x v="2"/>
    </i>
    <i>
      <x v="3"/>
    </i>
    <i>
      <x v="4"/>
    </i>
    <i>
      <x v="5"/>
    </i>
    <i>
      <x v="6"/>
    </i>
    <i t="grand">
      <x/>
    </i>
  </rowItems>
  <colItems count="1">
    <i/>
  </colItems>
  <dataFields count="1">
    <dataField name="Sum of Fatalities" fld="12"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910BB0-C504-274A-B83C-9278AC0E337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1:Q22" firstHeaderRow="1" firstDataRow="1" firstDataCol="1"/>
  <pivotFields count="18">
    <pivotField showAll="0"/>
    <pivotField showAll="0"/>
    <pivotField showAll="0"/>
    <pivotField showAll="0"/>
    <pivotField numFmtId="14" showAll="0">
      <items count="8">
        <item x="0"/>
        <item x="1"/>
        <item x="2"/>
        <item x="3"/>
        <item x="4"/>
        <item x="5"/>
        <item x="6"/>
        <item t="default"/>
      </items>
    </pivotField>
    <pivotField showAll="0"/>
    <pivotField showAll="0">
      <items count="6">
        <item x="4"/>
        <item x="0"/>
        <item x="3"/>
        <item x="2"/>
        <item x="1"/>
        <item t="default"/>
      </items>
    </pivotField>
    <pivotField showAll="0">
      <items count="5">
        <item x="3"/>
        <item x="0"/>
        <item x="1"/>
        <item x="2"/>
        <item t="default"/>
      </items>
    </pivotField>
    <pivotField showAll="0"/>
    <pivotField showAll="0"/>
    <pivotField showAll="0">
      <items count="5">
        <item x="0"/>
        <item x="1"/>
        <item x="2"/>
        <item x="3"/>
        <item t="default"/>
      </items>
    </pivotField>
    <pivotField numFmtId="165" showAll="0"/>
    <pivotField dataField="1" showAll="0">
      <items count="7">
        <item x="1"/>
        <item x="0"/>
        <item x="2"/>
        <item x="4"/>
        <item x="3"/>
        <item x="5"/>
        <item t="default"/>
      </items>
    </pivotField>
    <pivotField showAll="0"/>
    <pivotField showAll="0">
      <items count="7">
        <item x="0"/>
        <item x="1"/>
        <item x="2"/>
        <item x="3"/>
        <item x="4"/>
        <item x="5"/>
        <item t="default"/>
      </items>
    </pivotField>
    <pivotField showAll="0"/>
    <pivotField showAll="0"/>
    <pivotField axis="axisRow" showAll="0">
      <items count="11">
        <item x="8"/>
        <item x="1"/>
        <item x="4"/>
        <item x="3"/>
        <item x="9"/>
        <item x="6"/>
        <item x="0"/>
        <item x="5"/>
        <item x="2"/>
        <item x="7"/>
        <item t="default"/>
      </items>
    </pivotField>
  </pivotFields>
  <rowFields count="1">
    <field x="17"/>
  </rowFields>
  <rowItems count="11">
    <i>
      <x/>
    </i>
    <i>
      <x v="1"/>
    </i>
    <i>
      <x v="2"/>
    </i>
    <i>
      <x v="3"/>
    </i>
    <i>
      <x v="4"/>
    </i>
    <i>
      <x v="5"/>
    </i>
    <i>
      <x v="6"/>
    </i>
    <i>
      <x v="7"/>
    </i>
    <i>
      <x v="8"/>
    </i>
    <i>
      <x v="9"/>
    </i>
    <i t="grand">
      <x/>
    </i>
  </rowItems>
  <colItems count="1">
    <i/>
  </colItems>
  <dataFields count="1">
    <dataField name="Sum of Fatalities" fld="12"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2CD794-D2FE-6F4E-A1ED-45A45BB965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9:K15" firstHeaderRow="1" firstDataRow="1" firstDataCol="1"/>
  <pivotFields count="18">
    <pivotField showAll="0"/>
    <pivotField showAll="0"/>
    <pivotField showAll="0"/>
    <pivotField showAll="0"/>
    <pivotField axis="axisRow" numFmtId="14" showAll="0">
      <items count="8">
        <item x="0"/>
        <item x="1"/>
        <item x="2"/>
        <item x="3"/>
        <item x="4"/>
        <item x="5"/>
        <item x="6"/>
        <item t="default"/>
      </items>
    </pivotField>
    <pivotField showAll="0"/>
    <pivotField showAll="0">
      <items count="6">
        <item x="4"/>
        <item x="0"/>
        <item x="3"/>
        <item x="2"/>
        <item x="1"/>
        <item t="default"/>
      </items>
    </pivotField>
    <pivotField showAll="0"/>
    <pivotField showAll="0"/>
    <pivotField showAll="0"/>
    <pivotField showAll="0">
      <items count="5">
        <item x="0"/>
        <item x="1"/>
        <item x="2"/>
        <item x="3"/>
        <item t="default"/>
      </items>
    </pivotField>
    <pivotField numFmtId="165" showAll="0"/>
    <pivotField dataField="1" showAll="0">
      <items count="7">
        <item x="1"/>
        <item x="0"/>
        <item x="2"/>
        <item x="4"/>
        <item x="3"/>
        <item x="5"/>
        <item t="default"/>
      </items>
    </pivotField>
    <pivotField showAll="0"/>
    <pivotField showAll="0">
      <items count="7">
        <item x="0"/>
        <item x="1"/>
        <item x="2"/>
        <item x="3"/>
        <item x="4"/>
        <item x="5"/>
        <item t="default"/>
      </items>
    </pivotField>
    <pivotField showAll="0"/>
    <pivotField showAll="0"/>
    <pivotField showAll="0">
      <items count="11">
        <item x="8"/>
        <item x="1"/>
        <item x="4"/>
        <item x="3"/>
        <item x="9"/>
        <item x="6"/>
        <item x="0"/>
        <item x="5"/>
        <item x="2"/>
        <item x="7"/>
        <item t="default"/>
      </items>
    </pivotField>
  </pivotFields>
  <rowFields count="1">
    <field x="4"/>
  </rowFields>
  <rowItems count="6">
    <i>
      <x v="1"/>
    </i>
    <i>
      <x v="2"/>
    </i>
    <i>
      <x v="3"/>
    </i>
    <i>
      <x v="4"/>
    </i>
    <i>
      <x v="5"/>
    </i>
    <i t="grand">
      <x/>
    </i>
  </rowItems>
  <colItems count="1">
    <i/>
  </colItems>
  <dataFields count="1">
    <dataField name="Sum of Fatalities"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6C7FBAE-4F99-B34D-A940-9A4E1FE362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B20" firstHeaderRow="1" firstDataRow="1" firstDataCol="1"/>
  <pivotFields count="18">
    <pivotField showAll="0"/>
    <pivotField showAll="0"/>
    <pivotField showAll="0"/>
    <pivotField showAll="0"/>
    <pivotField numFmtId="14" showAll="0">
      <items count="8">
        <item x="0"/>
        <item x="1"/>
        <item x="2"/>
        <item x="3"/>
        <item x="4"/>
        <item x="5"/>
        <item x="6"/>
        <item t="default"/>
      </items>
    </pivotField>
    <pivotField showAll="0"/>
    <pivotField showAll="0"/>
    <pivotField showAll="0"/>
    <pivotField showAll="0"/>
    <pivotField showAll="0"/>
    <pivotField showAll="0">
      <items count="5">
        <item x="0"/>
        <item x="1"/>
        <item x="2"/>
        <item x="3"/>
        <item t="default"/>
      </items>
    </pivotField>
    <pivotField numFmtId="165" showAll="0"/>
    <pivotField dataField="1" showAll="0">
      <items count="7">
        <item x="1"/>
        <item x="0"/>
        <item x="2"/>
        <item x="4"/>
        <item x="3"/>
        <item x="5"/>
        <item t="default"/>
      </items>
    </pivotField>
    <pivotField showAll="0"/>
    <pivotField showAll="0">
      <items count="7">
        <item x="0"/>
        <item x="1"/>
        <item x="2"/>
        <item x="3"/>
        <item x="4"/>
        <item x="5"/>
        <item t="default"/>
      </items>
    </pivotField>
    <pivotField showAll="0"/>
    <pivotField showAll="0"/>
    <pivotField axis="axisRow" showAll="0">
      <items count="11">
        <item x="8"/>
        <item x="1"/>
        <item x="4"/>
        <item x="3"/>
        <item x="9"/>
        <item x="6"/>
        <item x="0"/>
        <item x="5"/>
        <item x="2"/>
        <item x="7"/>
        <item t="default"/>
      </items>
    </pivotField>
  </pivotFields>
  <rowFields count="1">
    <field x="17"/>
  </rowFields>
  <rowItems count="11">
    <i>
      <x/>
    </i>
    <i>
      <x v="1"/>
    </i>
    <i>
      <x v="2"/>
    </i>
    <i>
      <x v="3"/>
    </i>
    <i>
      <x v="4"/>
    </i>
    <i>
      <x v="5"/>
    </i>
    <i>
      <x v="6"/>
    </i>
    <i>
      <x v="7"/>
    </i>
    <i>
      <x v="8"/>
    </i>
    <i>
      <x v="9"/>
    </i>
    <i t="grand">
      <x/>
    </i>
  </rowItems>
  <colItems count="1">
    <i/>
  </colItems>
  <dataFields count="1">
    <dataField name="Sum of Fatalities" fld="12"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E13D6AF-5C4F-414D-A767-A95A05E28D3C}" sourceName="Year">
  <pivotTables>
    <pivotTable tabId="2" name="PivotTable2"/>
  </pivotTables>
  <data>
    <tabular pivotCacheId="75725534">
      <items count="5">
        <i x="0" s="1"/>
        <i x="4"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2" xr10:uid="{8264860A-E723-AD41-9618-AEC757FD11F8}" sourceName="district2">
  <pivotTables>
    <pivotTable tabId="2" name="PivotTable2"/>
    <pivotTable tabId="2" name="PivotTable1"/>
    <pivotTable tabId="2" name="PivotTable10"/>
    <pivotTable tabId="2" name="PivotTable11"/>
    <pivotTable tabId="2" name="PivotTable13"/>
    <pivotTable tabId="2" name="PivotTable3"/>
    <pivotTable tabId="2" name="PivotTable4"/>
    <pivotTable tabId="2" name="PivotTable5"/>
    <pivotTable tabId="2" name="PivotTable6"/>
    <pivotTable tabId="2" name="PivotTable7"/>
    <pivotTable tabId="2" name="PivotTable8"/>
    <pivotTable tabId="2" name="PivotTable9"/>
    <pivotTable tabId="2" name="PivotTable14"/>
    <pivotTable tabId="2" name="PivotTable15"/>
    <pivotTable tabId="2" name="PivotTable12"/>
  </pivotTables>
  <data>
    <tabular pivotCacheId="75725534" sortOrder="descending">
      <items count="10">
        <i x="7" s="1"/>
        <i x="2" s="1"/>
        <i x="5" s="1"/>
        <i x="0" s="1"/>
        <i x="6" s="1"/>
        <i x="9" s="1"/>
        <i x="3" s="1"/>
        <i x="4" s="1"/>
        <i x="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384C17-2601-EA49-A5EC-340CE2F26051}" cache="Slicer_Year" caption="Year"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2 1" xr10:uid="{11FC0081-0325-394E-BCDA-CF876818967F}" cache="Slicer_district2" caption="district2" startItem="4" columnCount="2" showCaption="0" style="SlicerStyleDark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ABD74E-B125-0C44-B507-F30D6CB8B653}" name="Table1" displayName="Table1" ref="A1:R401" totalsRowShown="0" headerRowDxfId="4">
  <autoFilter ref="A1:R401" xr:uid="{05ABD74E-B125-0C44-B507-F30D6CB8B653}"/>
  <tableColumns count="18">
    <tableColumn id="1" xr3:uid="{C0DF38A5-ACDF-7946-B68F-960393D6E9AD}" name="Year"/>
    <tableColumn id="3" xr3:uid="{C2676D7B-9845-984F-ADF2-6141B316D046}" name="City"/>
    <tableColumn id="4" xr3:uid="{F9720E59-0407-7C44-9908-7E10C921E2CB}" name="Area_Type"/>
    <tableColumn id="5" xr3:uid="{4A0ADB2E-C585-1947-B2C0-C3CF9B70E4C1}" name="Accident_ID"/>
    <tableColumn id="6" xr3:uid="{8B534131-3EEF-754D-9E76-EB3433E6FA62}" name="Date" dataDxfId="3"/>
    <tableColumn id="7" xr3:uid="{164E3937-9772-3E4C-B460-FED27D0B7350}" name="Time" dataDxfId="2"/>
    <tableColumn id="8" xr3:uid="{016A44E6-ECA3-0249-B8C8-63E81FF1FE22}" name="Vehicle_Type"/>
    <tableColumn id="9" xr3:uid="{CFA0E582-32D6-7340-A1C1-FD304879FFF9}" name="Cause2"/>
    <tableColumn id="10" xr3:uid="{5B58F519-F4B1-F34A-9B34-81A0C0AD9297}" name="Weather"/>
    <tableColumn id="11" xr3:uid="{783FB2E6-BC4B-574E-BBE4-CBD33289C016}" name="Road_Condition"/>
    <tableColumn id="12" xr3:uid="{BA5C566C-D3F1-4F4C-81D7-C8B5D1BB8685}" name="Driver_Age"/>
    <tableColumn id="13" xr3:uid="{661D93F0-3692-3646-8A66-F6DBE2338493}" name="Speed_kmph" dataDxfId="1"/>
    <tableColumn id="14" xr3:uid="{A901B717-A1D8-4E42-B31F-975B45A52C90}" name="Fatalities"/>
    <tableColumn id="15" xr3:uid="{8D4F290B-CC57-EA43-9C1F-CFF0B4486744}" name="Injuries"/>
    <tableColumn id="16" xr3:uid="{8D092B12-761E-BA44-8578-741DF8008FD1}" name="Response_Time_Minutes"/>
    <tableColumn id="17" xr3:uid="{93CEDD14-5DA3-114A-950F-268D7518BDC9}" name="month">
      <calculatedColumnFormula>TEXT(E2,"mmmm")</calculatedColumnFormula>
    </tableColumn>
    <tableColumn id="18" xr3:uid="{B7F0262F-76E1-5346-B406-86EFB6E87B48}" name="day">
      <calculatedColumnFormula>TEXT(E2,"dddd")</calculatedColumnFormula>
    </tableColumn>
    <tableColumn id="19" xr3:uid="{FD358000-637D-8145-8608-330E1244A9BD}" name="district2"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01"/>
  <sheetViews>
    <sheetView topLeftCell="B1" workbookViewId="0">
      <selection activeCell="E2" sqref="E2"/>
    </sheetView>
  </sheetViews>
  <sheetFormatPr baseColWidth="10" defaultColWidth="8.83203125" defaultRowHeight="15"/>
  <cols>
    <col min="1" max="1" width="9.5" customWidth="1"/>
    <col min="2" max="2" width="13.5" customWidth="1"/>
    <col min="3" max="3" width="12.33203125" customWidth="1"/>
    <col min="4" max="4" width="13.33203125" customWidth="1"/>
    <col min="5" max="5" width="17" style="2" customWidth="1"/>
    <col min="6" max="6" width="8.83203125" style="5" customWidth="1"/>
    <col min="7" max="7" width="14.5" customWidth="1"/>
    <col min="8" max="8" width="13.33203125" customWidth="1"/>
    <col min="9" max="9" width="10.6640625" customWidth="1"/>
    <col min="10" max="10" width="16.33203125" customWidth="1"/>
    <col min="11" max="11" width="12.83203125" customWidth="1"/>
    <col min="12" max="12" width="14.1640625" style="7" customWidth="1"/>
    <col min="13" max="13" width="11.5" customWidth="1"/>
    <col min="14" max="14" width="9.5" customWidth="1"/>
    <col min="15" max="15" width="24.1640625" customWidth="1"/>
    <col min="18" max="18" width="11.33203125" customWidth="1"/>
  </cols>
  <sheetData>
    <row r="1" spans="1:18" ht="16">
      <c r="A1" s="1" t="s">
        <v>0</v>
      </c>
      <c r="B1" s="1" t="s">
        <v>1</v>
      </c>
      <c r="C1" s="1" t="s">
        <v>2</v>
      </c>
      <c r="D1" s="1" t="s">
        <v>3</v>
      </c>
      <c r="E1" s="3" t="s">
        <v>4</v>
      </c>
      <c r="F1" s="4" t="s">
        <v>5</v>
      </c>
      <c r="G1" s="1" t="s">
        <v>6</v>
      </c>
      <c r="H1" s="1" t="s">
        <v>816</v>
      </c>
      <c r="I1" s="1" t="s">
        <v>7</v>
      </c>
      <c r="J1" s="1" t="s">
        <v>8</v>
      </c>
      <c r="K1" s="1" t="s">
        <v>9</v>
      </c>
      <c r="L1" s="6" t="s">
        <v>10</v>
      </c>
      <c r="M1" s="1" t="s">
        <v>11</v>
      </c>
      <c r="N1" s="1" t="s">
        <v>12</v>
      </c>
      <c r="O1" s="1" t="s">
        <v>13</v>
      </c>
      <c r="P1" s="1" t="s">
        <v>814</v>
      </c>
      <c r="Q1" s="1" t="s">
        <v>813</v>
      </c>
      <c r="R1" s="1" t="s">
        <v>815</v>
      </c>
    </row>
    <row r="2" spans="1:18">
      <c r="A2">
        <v>2022</v>
      </c>
      <c r="B2" t="s">
        <v>15</v>
      </c>
      <c r="C2" t="s">
        <v>16</v>
      </c>
      <c r="D2" t="s">
        <v>17</v>
      </c>
      <c r="E2" s="2">
        <v>44903</v>
      </c>
      <c r="F2" s="5" t="s">
        <v>18</v>
      </c>
      <c r="G2" t="s">
        <v>19</v>
      </c>
      <c r="H2" t="s">
        <v>20</v>
      </c>
      <c r="I2" t="s">
        <v>21</v>
      </c>
      <c r="J2" t="s">
        <v>22</v>
      </c>
      <c r="K2">
        <v>19</v>
      </c>
      <c r="L2" s="7">
        <v>103</v>
      </c>
      <c r="M2">
        <v>1</v>
      </c>
      <c r="N2">
        <v>0</v>
      </c>
      <c r="O2">
        <v>9</v>
      </c>
      <c r="P2" t="str">
        <f>TEXT(E2,"mmmm")</f>
        <v>December</v>
      </c>
      <c r="Q2" t="str">
        <f>TEXT(E2,"dddd")</f>
        <v>Thursday</v>
      </c>
      <c r="R2" t="s">
        <v>14</v>
      </c>
    </row>
    <row r="3" spans="1:18">
      <c r="A3">
        <v>2024</v>
      </c>
      <c r="B3" t="s">
        <v>24</v>
      </c>
      <c r="C3" t="s">
        <v>16</v>
      </c>
      <c r="D3" t="s">
        <v>25</v>
      </c>
      <c r="E3" s="2">
        <v>45366</v>
      </c>
      <c r="F3" s="5" t="s">
        <v>26</v>
      </c>
      <c r="G3" t="s">
        <v>27</v>
      </c>
      <c r="H3" t="s">
        <v>28</v>
      </c>
      <c r="I3" t="s">
        <v>29</v>
      </c>
      <c r="J3" t="s">
        <v>22</v>
      </c>
      <c r="K3">
        <v>46</v>
      </c>
      <c r="L3" s="7">
        <v>116</v>
      </c>
      <c r="M3">
        <v>0</v>
      </c>
      <c r="N3">
        <v>6</v>
      </c>
      <c r="O3">
        <v>13</v>
      </c>
      <c r="P3" t="str">
        <f t="shared" ref="P3:P66" si="0">TEXT(E3,"mmmm")</f>
        <v>March</v>
      </c>
      <c r="Q3" t="str">
        <f t="shared" ref="Q3:Q66" si="1">TEXT(E3,"dddd")</f>
        <v>Friday</v>
      </c>
      <c r="R3" t="s">
        <v>23</v>
      </c>
    </row>
    <row r="4" spans="1:18">
      <c r="A4">
        <v>2024</v>
      </c>
      <c r="B4" t="s">
        <v>31</v>
      </c>
      <c r="C4" t="s">
        <v>32</v>
      </c>
      <c r="D4" t="s">
        <v>33</v>
      </c>
      <c r="E4" s="2">
        <v>45351</v>
      </c>
      <c r="F4" s="5" t="s">
        <v>34</v>
      </c>
      <c r="G4" t="s">
        <v>35</v>
      </c>
      <c r="H4" t="s">
        <v>36</v>
      </c>
      <c r="I4" t="s">
        <v>21</v>
      </c>
      <c r="J4" t="s">
        <v>22</v>
      </c>
      <c r="K4">
        <v>35</v>
      </c>
      <c r="L4" s="7">
        <v>56</v>
      </c>
      <c r="M4">
        <v>1</v>
      </c>
      <c r="N4">
        <v>6</v>
      </c>
      <c r="O4">
        <v>33</v>
      </c>
      <c r="P4" t="str">
        <f t="shared" si="0"/>
        <v>February</v>
      </c>
      <c r="Q4" t="str">
        <f t="shared" si="1"/>
        <v>Thursday</v>
      </c>
      <c r="R4" t="s">
        <v>30</v>
      </c>
    </row>
    <row r="5" spans="1:18">
      <c r="A5">
        <v>2025</v>
      </c>
      <c r="B5" t="s">
        <v>38</v>
      </c>
      <c r="C5" t="s">
        <v>16</v>
      </c>
      <c r="D5" t="s">
        <v>39</v>
      </c>
      <c r="E5" s="2">
        <v>45921</v>
      </c>
      <c r="F5" s="5" t="s">
        <v>40</v>
      </c>
      <c r="G5" t="s">
        <v>19</v>
      </c>
      <c r="H5" t="s">
        <v>20</v>
      </c>
      <c r="I5" t="s">
        <v>21</v>
      </c>
      <c r="J5" t="s">
        <v>22</v>
      </c>
      <c r="K5">
        <v>46</v>
      </c>
      <c r="L5" s="7">
        <v>43</v>
      </c>
      <c r="M5">
        <v>2</v>
      </c>
      <c r="N5">
        <v>0</v>
      </c>
      <c r="O5">
        <v>27</v>
      </c>
      <c r="P5" t="str">
        <f t="shared" si="0"/>
        <v>September</v>
      </c>
      <c r="Q5" t="str">
        <f t="shared" si="1"/>
        <v>Sunday</v>
      </c>
      <c r="R5" t="s">
        <v>37</v>
      </c>
    </row>
    <row r="6" spans="1:18">
      <c r="A6">
        <v>2025</v>
      </c>
      <c r="B6" t="s">
        <v>41</v>
      </c>
      <c r="C6" t="s">
        <v>16</v>
      </c>
      <c r="D6" t="s">
        <v>42</v>
      </c>
      <c r="E6" s="2">
        <v>46006</v>
      </c>
      <c r="F6" s="5" t="s">
        <v>43</v>
      </c>
      <c r="G6" t="s">
        <v>35</v>
      </c>
      <c r="H6" t="s">
        <v>36</v>
      </c>
      <c r="I6" t="s">
        <v>44</v>
      </c>
      <c r="J6" t="s">
        <v>22</v>
      </c>
      <c r="K6">
        <v>25</v>
      </c>
      <c r="L6" s="7">
        <v>66</v>
      </c>
      <c r="M6">
        <v>2</v>
      </c>
      <c r="N6">
        <v>4</v>
      </c>
      <c r="O6">
        <v>18</v>
      </c>
      <c r="P6" t="str">
        <f t="shared" si="0"/>
        <v>December</v>
      </c>
      <c r="Q6" t="str">
        <f t="shared" si="1"/>
        <v>Monday</v>
      </c>
      <c r="R6" t="s">
        <v>30</v>
      </c>
    </row>
    <row r="7" spans="1:18">
      <c r="A7">
        <v>2025</v>
      </c>
      <c r="B7" t="s">
        <v>46</v>
      </c>
      <c r="C7" t="s">
        <v>32</v>
      </c>
      <c r="D7" t="s">
        <v>47</v>
      </c>
      <c r="E7" s="2">
        <v>45993</v>
      </c>
      <c r="F7" s="5" t="s">
        <v>48</v>
      </c>
      <c r="G7" t="s">
        <v>49</v>
      </c>
      <c r="H7" t="s">
        <v>36</v>
      </c>
      <c r="I7" t="s">
        <v>21</v>
      </c>
      <c r="J7" t="s">
        <v>22</v>
      </c>
      <c r="K7">
        <v>35</v>
      </c>
      <c r="L7" s="7">
        <v>79</v>
      </c>
      <c r="M7">
        <v>4</v>
      </c>
      <c r="N7">
        <v>3</v>
      </c>
      <c r="O7">
        <v>12</v>
      </c>
      <c r="P7" t="str">
        <f t="shared" si="0"/>
        <v>December</v>
      </c>
      <c r="Q7" t="str">
        <f t="shared" si="1"/>
        <v>Tuesday</v>
      </c>
      <c r="R7" t="s">
        <v>45</v>
      </c>
    </row>
    <row r="8" spans="1:18">
      <c r="A8">
        <v>2022</v>
      </c>
      <c r="B8" t="s">
        <v>50</v>
      </c>
      <c r="C8" t="s">
        <v>16</v>
      </c>
      <c r="D8" t="s">
        <v>51</v>
      </c>
      <c r="E8" s="2">
        <v>44920</v>
      </c>
      <c r="F8" s="5" t="s">
        <v>52</v>
      </c>
      <c r="G8" t="s">
        <v>49</v>
      </c>
      <c r="H8" t="s">
        <v>36</v>
      </c>
      <c r="I8" t="s">
        <v>44</v>
      </c>
      <c r="J8" t="s">
        <v>53</v>
      </c>
      <c r="K8">
        <v>60</v>
      </c>
      <c r="L8" s="7">
        <v>99</v>
      </c>
      <c r="M8">
        <v>0</v>
      </c>
      <c r="N8">
        <v>5</v>
      </c>
      <c r="O8">
        <v>34</v>
      </c>
      <c r="P8" t="str">
        <f t="shared" si="0"/>
        <v>December</v>
      </c>
      <c r="Q8" t="str">
        <f t="shared" si="1"/>
        <v>Sunday</v>
      </c>
      <c r="R8" t="s">
        <v>30</v>
      </c>
    </row>
    <row r="9" spans="1:18">
      <c r="A9">
        <v>2022</v>
      </c>
      <c r="B9" t="s">
        <v>54</v>
      </c>
      <c r="C9" t="s">
        <v>16</v>
      </c>
      <c r="D9" t="s">
        <v>55</v>
      </c>
      <c r="E9" s="2">
        <v>44705</v>
      </c>
      <c r="F9" s="5" t="s">
        <v>56</v>
      </c>
      <c r="G9" t="s">
        <v>57</v>
      </c>
      <c r="H9" t="s">
        <v>28</v>
      </c>
      <c r="I9" t="s">
        <v>44</v>
      </c>
      <c r="J9" t="s">
        <v>22</v>
      </c>
      <c r="K9">
        <v>52</v>
      </c>
      <c r="L9" s="7">
        <v>68</v>
      </c>
      <c r="M9">
        <v>0</v>
      </c>
      <c r="N9">
        <v>5</v>
      </c>
      <c r="O9">
        <v>33</v>
      </c>
      <c r="P9" t="str">
        <f t="shared" si="0"/>
        <v>May</v>
      </c>
      <c r="Q9" t="str">
        <f t="shared" si="1"/>
        <v>Tuesday</v>
      </c>
      <c r="R9" t="s">
        <v>23</v>
      </c>
    </row>
    <row r="10" spans="1:18">
      <c r="A10">
        <v>2025</v>
      </c>
      <c r="B10" t="s">
        <v>59</v>
      </c>
      <c r="C10" t="s">
        <v>32</v>
      </c>
      <c r="D10" t="s">
        <v>60</v>
      </c>
      <c r="E10" s="2">
        <v>45722</v>
      </c>
      <c r="F10" s="5" t="s">
        <v>61</v>
      </c>
      <c r="G10" t="s">
        <v>49</v>
      </c>
      <c r="H10" t="s">
        <v>28</v>
      </c>
      <c r="I10" t="s">
        <v>29</v>
      </c>
      <c r="J10" t="s">
        <v>53</v>
      </c>
      <c r="K10">
        <v>52</v>
      </c>
      <c r="L10" s="7">
        <v>72</v>
      </c>
      <c r="M10">
        <v>0</v>
      </c>
      <c r="N10">
        <v>3</v>
      </c>
      <c r="O10">
        <v>23</v>
      </c>
      <c r="P10" t="str">
        <f t="shared" si="0"/>
        <v>March</v>
      </c>
      <c r="Q10" t="str">
        <f t="shared" si="1"/>
        <v>Thursday</v>
      </c>
      <c r="R10" t="s">
        <v>58</v>
      </c>
    </row>
    <row r="11" spans="1:18">
      <c r="A11">
        <v>2025</v>
      </c>
      <c r="B11" t="s">
        <v>62</v>
      </c>
      <c r="C11" t="s">
        <v>32</v>
      </c>
      <c r="D11" t="s">
        <v>63</v>
      </c>
      <c r="E11" s="2">
        <v>46011</v>
      </c>
      <c r="F11" s="5" t="s">
        <v>64</v>
      </c>
      <c r="G11" t="s">
        <v>27</v>
      </c>
      <c r="H11" t="s">
        <v>28</v>
      </c>
      <c r="I11" t="s">
        <v>44</v>
      </c>
      <c r="J11" t="s">
        <v>22</v>
      </c>
      <c r="K11">
        <v>32</v>
      </c>
      <c r="L11" s="7">
        <v>42</v>
      </c>
      <c r="M11">
        <v>3</v>
      </c>
      <c r="N11">
        <v>5</v>
      </c>
      <c r="O11">
        <v>33</v>
      </c>
      <c r="P11" t="str">
        <f t="shared" si="0"/>
        <v>December</v>
      </c>
      <c r="Q11" t="str">
        <f t="shared" si="1"/>
        <v>Saturday</v>
      </c>
      <c r="R11" t="s">
        <v>45</v>
      </c>
    </row>
    <row r="12" spans="1:18">
      <c r="A12">
        <v>2026</v>
      </c>
      <c r="B12" t="s">
        <v>38</v>
      </c>
      <c r="C12" t="s">
        <v>32</v>
      </c>
      <c r="D12" t="s">
        <v>65</v>
      </c>
      <c r="E12" s="2">
        <v>46038</v>
      </c>
      <c r="F12" s="5" t="s">
        <v>66</v>
      </c>
      <c r="G12" t="s">
        <v>19</v>
      </c>
      <c r="H12" t="s">
        <v>67</v>
      </c>
      <c r="I12" t="s">
        <v>44</v>
      </c>
      <c r="J12" t="s">
        <v>22</v>
      </c>
      <c r="K12">
        <v>21</v>
      </c>
      <c r="L12" s="7">
        <v>74</v>
      </c>
      <c r="M12">
        <v>3</v>
      </c>
      <c r="N12">
        <v>0</v>
      </c>
      <c r="O12">
        <v>32</v>
      </c>
      <c r="P12" t="str">
        <f t="shared" si="0"/>
        <v>January</v>
      </c>
      <c r="Q12" t="str">
        <f t="shared" si="1"/>
        <v>Friday</v>
      </c>
      <c r="R12" t="s">
        <v>30</v>
      </c>
    </row>
    <row r="13" spans="1:18">
      <c r="A13">
        <v>2022</v>
      </c>
      <c r="B13" t="s">
        <v>59</v>
      </c>
      <c r="C13" t="s">
        <v>32</v>
      </c>
      <c r="D13" t="s">
        <v>69</v>
      </c>
      <c r="E13" s="2">
        <v>44885</v>
      </c>
      <c r="F13" s="5" t="s">
        <v>70</v>
      </c>
      <c r="G13" t="s">
        <v>57</v>
      </c>
      <c r="H13" t="s">
        <v>36</v>
      </c>
      <c r="I13" t="s">
        <v>29</v>
      </c>
      <c r="J13" t="s">
        <v>53</v>
      </c>
      <c r="K13">
        <v>37</v>
      </c>
      <c r="L13" s="7">
        <v>66</v>
      </c>
      <c r="M13">
        <v>5</v>
      </c>
      <c r="N13">
        <v>5</v>
      </c>
      <c r="O13">
        <v>11</v>
      </c>
      <c r="P13" t="str">
        <f t="shared" si="0"/>
        <v>November</v>
      </c>
      <c r="Q13" t="str">
        <f t="shared" si="1"/>
        <v>Sunday</v>
      </c>
      <c r="R13" t="s">
        <v>68</v>
      </c>
    </row>
    <row r="14" spans="1:18">
      <c r="A14">
        <v>2025</v>
      </c>
      <c r="B14" t="s">
        <v>72</v>
      </c>
      <c r="C14" t="s">
        <v>16</v>
      </c>
      <c r="D14" t="s">
        <v>73</v>
      </c>
      <c r="E14" s="2">
        <v>45660</v>
      </c>
      <c r="F14" s="5" t="s">
        <v>74</v>
      </c>
      <c r="G14" t="s">
        <v>35</v>
      </c>
      <c r="H14" t="s">
        <v>67</v>
      </c>
      <c r="I14" t="s">
        <v>44</v>
      </c>
      <c r="J14" t="s">
        <v>22</v>
      </c>
      <c r="K14">
        <v>59</v>
      </c>
      <c r="L14" s="7">
        <v>99</v>
      </c>
      <c r="M14">
        <v>1</v>
      </c>
      <c r="N14">
        <v>0</v>
      </c>
      <c r="O14">
        <v>24</v>
      </c>
      <c r="P14" t="str">
        <f t="shared" si="0"/>
        <v>January</v>
      </c>
      <c r="Q14" t="str">
        <f t="shared" si="1"/>
        <v>Friday</v>
      </c>
      <c r="R14" t="s">
        <v>71</v>
      </c>
    </row>
    <row r="15" spans="1:18">
      <c r="A15">
        <v>2022</v>
      </c>
      <c r="B15" t="s">
        <v>62</v>
      </c>
      <c r="C15" t="s">
        <v>32</v>
      </c>
      <c r="D15" t="s">
        <v>75</v>
      </c>
      <c r="E15" s="2">
        <v>44755</v>
      </c>
      <c r="F15" s="5" t="s">
        <v>76</v>
      </c>
      <c r="G15" t="s">
        <v>27</v>
      </c>
      <c r="H15" t="s">
        <v>36</v>
      </c>
      <c r="I15" t="s">
        <v>29</v>
      </c>
      <c r="J15" t="s">
        <v>22</v>
      </c>
      <c r="K15">
        <v>65</v>
      </c>
      <c r="L15" s="7">
        <v>70</v>
      </c>
      <c r="M15">
        <v>0</v>
      </c>
      <c r="N15">
        <v>2</v>
      </c>
      <c r="O15">
        <v>36</v>
      </c>
      <c r="P15" t="str">
        <f t="shared" si="0"/>
        <v>July</v>
      </c>
      <c r="Q15" t="str">
        <f t="shared" si="1"/>
        <v>Wednesday</v>
      </c>
      <c r="R15" t="s">
        <v>68</v>
      </c>
    </row>
    <row r="16" spans="1:18">
      <c r="A16">
        <v>2024</v>
      </c>
      <c r="B16" t="s">
        <v>77</v>
      </c>
      <c r="C16" t="s">
        <v>32</v>
      </c>
      <c r="D16" t="s">
        <v>78</v>
      </c>
      <c r="E16" s="2">
        <v>45361</v>
      </c>
      <c r="F16" s="5" t="s">
        <v>79</v>
      </c>
      <c r="G16" t="s">
        <v>49</v>
      </c>
      <c r="H16" t="s">
        <v>28</v>
      </c>
      <c r="I16" t="s">
        <v>44</v>
      </c>
      <c r="J16" t="s">
        <v>22</v>
      </c>
      <c r="K16">
        <v>50</v>
      </c>
      <c r="L16" s="7">
        <v>54</v>
      </c>
      <c r="M16">
        <v>4</v>
      </c>
      <c r="N16">
        <v>2</v>
      </c>
      <c r="O16">
        <v>45</v>
      </c>
      <c r="P16" t="str">
        <f t="shared" si="0"/>
        <v>March</v>
      </c>
      <c r="Q16" t="str">
        <f t="shared" si="1"/>
        <v>Sunday</v>
      </c>
      <c r="R16" t="s">
        <v>58</v>
      </c>
    </row>
    <row r="17" spans="1:18">
      <c r="A17">
        <v>2023</v>
      </c>
      <c r="B17" t="s">
        <v>77</v>
      </c>
      <c r="C17" t="s">
        <v>16</v>
      </c>
      <c r="D17" t="s">
        <v>80</v>
      </c>
      <c r="E17" s="2">
        <v>45288</v>
      </c>
      <c r="F17" s="5" t="s">
        <v>81</v>
      </c>
      <c r="G17" t="s">
        <v>57</v>
      </c>
      <c r="H17" t="s">
        <v>67</v>
      </c>
      <c r="I17" t="s">
        <v>29</v>
      </c>
      <c r="J17" t="s">
        <v>22</v>
      </c>
      <c r="K17">
        <v>37</v>
      </c>
      <c r="L17" s="7">
        <v>77</v>
      </c>
      <c r="M17">
        <v>4</v>
      </c>
      <c r="N17">
        <v>2</v>
      </c>
      <c r="O17">
        <v>22</v>
      </c>
      <c r="P17" t="str">
        <f t="shared" si="0"/>
        <v>December</v>
      </c>
      <c r="Q17" t="str">
        <f t="shared" si="1"/>
        <v>Thursday</v>
      </c>
      <c r="R17" t="s">
        <v>14</v>
      </c>
    </row>
    <row r="18" spans="1:18">
      <c r="A18">
        <v>2022</v>
      </c>
      <c r="B18" t="s">
        <v>82</v>
      </c>
      <c r="C18" t="s">
        <v>32</v>
      </c>
      <c r="D18" t="s">
        <v>83</v>
      </c>
      <c r="E18" s="2">
        <v>44777</v>
      </c>
      <c r="F18" s="5" t="s">
        <v>84</v>
      </c>
      <c r="G18" t="s">
        <v>35</v>
      </c>
      <c r="H18" t="s">
        <v>28</v>
      </c>
      <c r="I18" t="s">
        <v>21</v>
      </c>
      <c r="J18" t="s">
        <v>22</v>
      </c>
      <c r="K18">
        <v>21</v>
      </c>
      <c r="L18" s="7">
        <v>110</v>
      </c>
      <c r="M18">
        <v>1</v>
      </c>
      <c r="N18">
        <v>5</v>
      </c>
      <c r="O18">
        <v>42</v>
      </c>
      <c r="P18" t="str">
        <f t="shared" si="0"/>
        <v>August</v>
      </c>
      <c r="Q18" t="str">
        <f t="shared" si="1"/>
        <v>Thursday</v>
      </c>
      <c r="R18" t="s">
        <v>71</v>
      </c>
    </row>
    <row r="19" spans="1:18">
      <c r="A19">
        <v>2022</v>
      </c>
      <c r="B19" t="s">
        <v>85</v>
      </c>
      <c r="C19" t="s">
        <v>32</v>
      </c>
      <c r="D19" t="s">
        <v>86</v>
      </c>
      <c r="E19" s="2">
        <v>44639</v>
      </c>
      <c r="F19" s="5" t="s">
        <v>87</v>
      </c>
      <c r="G19" t="s">
        <v>49</v>
      </c>
      <c r="H19" t="s">
        <v>28</v>
      </c>
      <c r="I19" t="s">
        <v>21</v>
      </c>
      <c r="J19" t="s">
        <v>22</v>
      </c>
      <c r="K19">
        <v>18</v>
      </c>
      <c r="L19" s="7">
        <v>102</v>
      </c>
      <c r="M19">
        <v>5</v>
      </c>
      <c r="N19">
        <v>6</v>
      </c>
      <c r="O19">
        <v>14</v>
      </c>
      <c r="P19" t="str">
        <f t="shared" si="0"/>
        <v>March</v>
      </c>
      <c r="Q19" t="str">
        <f t="shared" si="1"/>
        <v>Saturday</v>
      </c>
      <c r="R19" t="s">
        <v>45</v>
      </c>
    </row>
    <row r="20" spans="1:18">
      <c r="A20">
        <v>2025</v>
      </c>
      <c r="B20" t="s">
        <v>88</v>
      </c>
      <c r="C20" t="s">
        <v>16</v>
      </c>
      <c r="D20" t="s">
        <v>89</v>
      </c>
      <c r="E20" s="2">
        <v>45732</v>
      </c>
      <c r="F20" s="5" t="s">
        <v>90</v>
      </c>
      <c r="G20" t="s">
        <v>49</v>
      </c>
      <c r="H20" t="s">
        <v>67</v>
      </c>
      <c r="I20" t="s">
        <v>21</v>
      </c>
      <c r="J20" t="s">
        <v>53</v>
      </c>
      <c r="K20">
        <v>33</v>
      </c>
      <c r="L20" s="7">
        <v>89</v>
      </c>
      <c r="M20">
        <v>0</v>
      </c>
      <c r="N20">
        <v>2</v>
      </c>
      <c r="O20">
        <v>38</v>
      </c>
      <c r="P20" t="str">
        <f t="shared" si="0"/>
        <v>March</v>
      </c>
      <c r="Q20" t="str">
        <f t="shared" si="1"/>
        <v>Sunday</v>
      </c>
      <c r="R20" t="s">
        <v>23</v>
      </c>
    </row>
    <row r="21" spans="1:18">
      <c r="A21">
        <v>2023</v>
      </c>
      <c r="B21" t="s">
        <v>46</v>
      </c>
      <c r="C21" t="s">
        <v>16</v>
      </c>
      <c r="D21" t="s">
        <v>91</v>
      </c>
      <c r="E21" s="2">
        <v>45065</v>
      </c>
      <c r="F21" s="5" t="s">
        <v>92</v>
      </c>
      <c r="G21" t="s">
        <v>27</v>
      </c>
      <c r="H21" t="s">
        <v>67</v>
      </c>
      <c r="I21" t="s">
        <v>44</v>
      </c>
      <c r="J21" t="s">
        <v>22</v>
      </c>
      <c r="K21">
        <v>28</v>
      </c>
      <c r="L21" s="7">
        <v>119</v>
      </c>
      <c r="M21">
        <v>3</v>
      </c>
      <c r="N21">
        <v>5</v>
      </c>
      <c r="O21">
        <v>14</v>
      </c>
      <c r="P21" t="str">
        <f t="shared" si="0"/>
        <v>May</v>
      </c>
      <c r="Q21" t="str">
        <f t="shared" si="1"/>
        <v>Friday</v>
      </c>
      <c r="R21" t="s">
        <v>71</v>
      </c>
    </row>
    <row r="22" spans="1:18">
      <c r="A22">
        <v>2023</v>
      </c>
      <c r="B22" t="s">
        <v>93</v>
      </c>
      <c r="C22" t="s">
        <v>32</v>
      </c>
      <c r="D22" t="s">
        <v>94</v>
      </c>
      <c r="E22" s="2">
        <v>44990</v>
      </c>
      <c r="F22" s="5" t="s">
        <v>95</v>
      </c>
      <c r="G22" t="s">
        <v>19</v>
      </c>
      <c r="H22" t="s">
        <v>28</v>
      </c>
      <c r="I22" t="s">
        <v>44</v>
      </c>
      <c r="J22" t="s">
        <v>22</v>
      </c>
      <c r="K22">
        <v>53</v>
      </c>
      <c r="L22" s="7">
        <v>92</v>
      </c>
      <c r="M22">
        <v>5</v>
      </c>
      <c r="N22">
        <v>2</v>
      </c>
      <c r="O22">
        <v>8</v>
      </c>
      <c r="P22" t="str">
        <f t="shared" si="0"/>
        <v>March</v>
      </c>
      <c r="Q22" t="str">
        <f t="shared" si="1"/>
        <v>Sunday</v>
      </c>
      <c r="R22" t="s">
        <v>14</v>
      </c>
    </row>
    <row r="23" spans="1:18">
      <c r="A23">
        <v>2023</v>
      </c>
      <c r="B23" t="s">
        <v>15</v>
      </c>
      <c r="C23" t="s">
        <v>32</v>
      </c>
      <c r="D23" t="s">
        <v>96</v>
      </c>
      <c r="E23" s="2">
        <v>45268</v>
      </c>
      <c r="F23" s="5" t="s">
        <v>97</v>
      </c>
      <c r="G23" t="s">
        <v>19</v>
      </c>
      <c r="H23" t="s">
        <v>20</v>
      </c>
      <c r="I23" t="s">
        <v>44</v>
      </c>
      <c r="J23" t="s">
        <v>22</v>
      </c>
      <c r="K23">
        <v>24</v>
      </c>
      <c r="L23" s="7">
        <v>115</v>
      </c>
      <c r="M23">
        <v>3</v>
      </c>
      <c r="N23">
        <v>6</v>
      </c>
      <c r="O23">
        <v>23</v>
      </c>
      <c r="P23" t="str">
        <f t="shared" si="0"/>
        <v>December</v>
      </c>
      <c r="Q23" t="str">
        <f t="shared" si="1"/>
        <v>Friday</v>
      </c>
      <c r="R23" t="s">
        <v>23</v>
      </c>
    </row>
    <row r="24" spans="1:18">
      <c r="A24">
        <v>2023</v>
      </c>
      <c r="B24" t="s">
        <v>62</v>
      </c>
      <c r="C24" t="s">
        <v>16</v>
      </c>
      <c r="D24" t="s">
        <v>98</v>
      </c>
      <c r="E24" s="2">
        <v>45278</v>
      </c>
      <c r="F24" s="5" t="s">
        <v>99</v>
      </c>
      <c r="G24" t="s">
        <v>57</v>
      </c>
      <c r="H24" t="s">
        <v>67</v>
      </c>
      <c r="I24" t="s">
        <v>21</v>
      </c>
      <c r="J24" t="s">
        <v>53</v>
      </c>
      <c r="K24">
        <v>38</v>
      </c>
      <c r="L24" s="7">
        <v>110</v>
      </c>
      <c r="M24">
        <v>2</v>
      </c>
      <c r="N24">
        <v>6</v>
      </c>
      <c r="O24">
        <v>35</v>
      </c>
      <c r="P24" t="str">
        <f t="shared" si="0"/>
        <v>December</v>
      </c>
      <c r="Q24" t="str">
        <f t="shared" si="1"/>
        <v>Monday</v>
      </c>
      <c r="R24" t="s">
        <v>23</v>
      </c>
    </row>
    <row r="25" spans="1:18">
      <c r="A25">
        <v>2024</v>
      </c>
      <c r="B25" t="s">
        <v>100</v>
      </c>
      <c r="C25" t="s">
        <v>32</v>
      </c>
      <c r="D25" t="s">
        <v>101</v>
      </c>
      <c r="E25" s="2">
        <v>45438</v>
      </c>
      <c r="F25" s="5" t="s">
        <v>102</v>
      </c>
      <c r="G25" t="s">
        <v>27</v>
      </c>
      <c r="H25" t="s">
        <v>36</v>
      </c>
      <c r="I25" t="s">
        <v>29</v>
      </c>
      <c r="J25" t="s">
        <v>22</v>
      </c>
      <c r="K25">
        <v>49</v>
      </c>
      <c r="L25" s="7">
        <v>104</v>
      </c>
      <c r="M25">
        <v>5</v>
      </c>
      <c r="N25">
        <v>2</v>
      </c>
      <c r="O25">
        <v>44</v>
      </c>
      <c r="P25" t="str">
        <f t="shared" si="0"/>
        <v>May</v>
      </c>
      <c r="Q25" t="str">
        <f t="shared" si="1"/>
        <v>Sunday</v>
      </c>
      <c r="R25" t="s">
        <v>37</v>
      </c>
    </row>
    <row r="26" spans="1:18">
      <c r="A26">
        <v>2023</v>
      </c>
      <c r="B26" t="s">
        <v>77</v>
      </c>
      <c r="C26" t="s">
        <v>16</v>
      </c>
      <c r="D26" t="s">
        <v>103</v>
      </c>
      <c r="E26" s="2">
        <v>45072</v>
      </c>
      <c r="F26" s="5" t="s">
        <v>104</v>
      </c>
      <c r="G26" t="s">
        <v>57</v>
      </c>
      <c r="H26" t="s">
        <v>67</v>
      </c>
      <c r="I26" t="s">
        <v>29</v>
      </c>
      <c r="J26" t="s">
        <v>22</v>
      </c>
      <c r="K26">
        <v>61</v>
      </c>
      <c r="L26" s="7">
        <v>111</v>
      </c>
      <c r="M26">
        <v>3</v>
      </c>
      <c r="N26">
        <v>4</v>
      </c>
      <c r="O26">
        <v>31</v>
      </c>
      <c r="P26" t="str">
        <f t="shared" si="0"/>
        <v>May</v>
      </c>
      <c r="Q26" t="str">
        <f t="shared" si="1"/>
        <v>Friday</v>
      </c>
      <c r="R26" t="s">
        <v>58</v>
      </c>
    </row>
    <row r="27" spans="1:18">
      <c r="A27">
        <v>2022</v>
      </c>
      <c r="B27" t="s">
        <v>106</v>
      </c>
      <c r="C27" t="s">
        <v>32</v>
      </c>
      <c r="D27" t="s">
        <v>107</v>
      </c>
      <c r="E27" s="2">
        <v>44898</v>
      </c>
      <c r="F27" s="5" t="s">
        <v>108</v>
      </c>
      <c r="G27" t="s">
        <v>19</v>
      </c>
      <c r="H27" t="s">
        <v>28</v>
      </c>
      <c r="I27" t="s">
        <v>29</v>
      </c>
      <c r="J27" t="s">
        <v>53</v>
      </c>
      <c r="K27">
        <v>33</v>
      </c>
      <c r="L27" s="7">
        <v>49</v>
      </c>
      <c r="M27">
        <v>3</v>
      </c>
      <c r="N27">
        <v>6</v>
      </c>
      <c r="O27">
        <v>24</v>
      </c>
      <c r="P27" t="str">
        <f t="shared" si="0"/>
        <v>December</v>
      </c>
      <c r="Q27" t="str">
        <f t="shared" si="1"/>
        <v>Saturday</v>
      </c>
      <c r="R27" t="s">
        <v>105</v>
      </c>
    </row>
    <row r="28" spans="1:18">
      <c r="A28">
        <v>2022</v>
      </c>
      <c r="B28" t="s">
        <v>54</v>
      </c>
      <c r="C28" t="s">
        <v>32</v>
      </c>
      <c r="D28" t="s">
        <v>109</v>
      </c>
      <c r="E28" s="2">
        <v>44734</v>
      </c>
      <c r="F28" s="5" t="s">
        <v>110</v>
      </c>
      <c r="G28" t="s">
        <v>35</v>
      </c>
      <c r="H28" t="s">
        <v>67</v>
      </c>
      <c r="I28" t="s">
        <v>44</v>
      </c>
      <c r="J28" t="s">
        <v>53</v>
      </c>
      <c r="K28">
        <v>49</v>
      </c>
      <c r="L28" s="7">
        <v>119</v>
      </c>
      <c r="M28">
        <v>0</v>
      </c>
      <c r="N28">
        <v>3</v>
      </c>
      <c r="O28">
        <v>31</v>
      </c>
      <c r="P28" t="str">
        <f t="shared" si="0"/>
        <v>June</v>
      </c>
      <c r="Q28" t="str">
        <f t="shared" si="1"/>
        <v>Wednesday</v>
      </c>
      <c r="R28" t="s">
        <v>68</v>
      </c>
    </row>
    <row r="29" spans="1:18">
      <c r="A29">
        <v>2023</v>
      </c>
      <c r="B29" t="s">
        <v>50</v>
      </c>
      <c r="C29" t="s">
        <v>32</v>
      </c>
      <c r="D29" t="s">
        <v>111</v>
      </c>
      <c r="E29" s="2">
        <v>45001</v>
      </c>
      <c r="F29" s="5" t="s">
        <v>112</v>
      </c>
      <c r="G29" t="s">
        <v>57</v>
      </c>
      <c r="H29" t="s">
        <v>36</v>
      </c>
      <c r="I29" t="s">
        <v>29</v>
      </c>
      <c r="J29" t="s">
        <v>53</v>
      </c>
      <c r="K29">
        <v>34</v>
      </c>
      <c r="L29" s="7">
        <v>94</v>
      </c>
      <c r="M29">
        <v>4</v>
      </c>
      <c r="N29">
        <v>2</v>
      </c>
      <c r="O29">
        <v>31</v>
      </c>
      <c r="P29" t="str">
        <f t="shared" si="0"/>
        <v>March</v>
      </c>
      <c r="Q29" t="str">
        <f t="shared" si="1"/>
        <v>Thursday</v>
      </c>
      <c r="R29" t="s">
        <v>30</v>
      </c>
    </row>
    <row r="30" spans="1:18">
      <c r="A30">
        <v>2025</v>
      </c>
      <c r="B30" t="s">
        <v>113</v>
      </c>
      <c r="C30" t="s">
        <v>16</v>
      </c>
      <c r="D30" t="s">
        <v>114</v>
      </c>
      <c r="E30" s="2">
        <v>45732</v>
      </c>
      <c r="F30" s="5" t="s">
        <v>115</v>
      </c>
      <c r="G30" t="s">
        <v>49</v>
      </c>
      <c r="H30" t="s">
        <v>67</v>
      </c>
      <c r="I30" t="s">
        <v>29</v>
      </c>
      <c r="J30" t="s">
        <v>22</v>
      </c>
      <c r="K30">
        <v>45</v>
      </c>
      <c r="L30" s="7">
        <v>77</v>
      </c>
      <c r="M30">
        <v>3</v>
      </c>
      <c r="N30">
        <v>2</v>
      </c>
      <c r="O30">
        <v>15</v>
      </c>
      <c r="P30" t="str">
        <f t="shared" si="0"/>
        <v>March</v>
      </c>
      <c r="Q30" t="str">
        <f t="shared" si="1"/>
        <v>Sunday</v>
      </c>
      <c r="R30" t="s">
        <v>23</v>
      </c>
    </row>
    <row r="31" spans="1:18">
      <c r="A31">
        <v>2023</v>
      </c>
      <c r="B31" t="s">
        <v>77</v>
      </c>
      <c r="C31" t="s">
        <v>16</v>
      </c>
      <c r="D31" t="s">
        <v>116</v>
      </c>
      <c r="E31" s="2">
        <v>45161</v>
      </c>
      <c r="F31" s="5" t="s">
        <v>117</v>
      </c>
      <c r="G31" t="s">
        <v>19</v>
      </c>
      <c r="H31" t="s">
        <v>67</v>
      </c>
      <c r="I31" t="s">
        <v>29</v>
      </c>
      <c r="J31" t="s">
        <v>22</v>
      </c>
      <c r="K31">
        <v>41</v>
      </c>
      <c r="L31" s="7">
        <v>68</v>
      </c>
      <c r="M31">
        <v>0</v>
      </c>
      <c r="N31">
        <v>6</v>
      </c>
      <c r="O31">
        <v>40</v>
      </c>
      <c r="P31" t="str">
        <f t="shared" si="0"/>
        <v>August</v>
      </c>
      <c r="Q31" t="str">
        <f t="shared" si="1"/>
        <v>Wednesday</v>
      </c>
      <c r="R31" t="s">
        <v>105</v>
      </c>
    </row>
    <row r="32" spans="1:18">
      <c r="A32">
        <v>2022</v>
      </c>
      <c r="B32" t="s">
        <v>41</v>
      </c>
      <c r="C32" t="s">
        <v>16</v>
      </c>
      <c r="D32" t="s">
        <v>118</v>
      </c>
      <c r="E32" s="2">
        <v>44875</v>
      </c>
      <c r="F32" s="5" t="s">
        <v>119</v>
      </c>
      <c r="G32" t="s">
        <v>57</v>
      </c>
      <c r="H32" t="s">
        <v>20</v>
      </c>
      <c r="I32" t="s">
        <v>21</v>
      </c>
      <c r="J32" t="s">
        <v>22</v>
      </c>
      <c r="K32">
        <v>45</v>
      </c>
      <c r="L32" s="7">
        <v>114</v>
      </c>
      <c r="M32">
        <v>5</v>
      </c>
      <c r="N32">
        <v>6</v>
      </c>
      <c r="O32">
        <v>31</v>
      </c>
      <c r="P32" t="str">
        <f t="shared" si="0"/>
        <v>November</v>
      </c>
      <c r="Q32" t="str">
        <f t="shared" si="1"/>
        <v>Thursday</v>
      </c>
      <c r="R32" t="s">
        <v>37</v>
      </c>
    </row>
    <row r="33" spans="1:18">
      <c r="A33">
        <v>2022</v>
      </c>
      <c r="B33" t="s">
        <v>82</v>
      </c>
      <c r="C33" t="s">
        <v>16</v>
      </c>
      <c r="D33" t="s">
        <v>120</v>
      </c>
      <c r="E33" s="2">
        <v>44696</v>
      </c>
      <c r="F33" s="5" t="s">
        <v>121</v>
      </c>
      <c r="G33" t="s">
        <v>19</v>
      </c>
      <c r="H33" t="s">
        <v>36</v>
      </c>
      <c r="I33" t="s">
        <v>29</v>
      </c>
      <c r="J33" t="s">
        <v>22</v>
      </c>
      <c r="K33">
        <v>44</v>
      </c>
      <c r="L33" s="7">
        <v>76</v>
      </c>
      <c r="M33">
        <v>1</v>
      </c>
      <c r="N33">
        <v>2</v>
      </c>
      <c r="O33">
        <v>29</v>
      </c>
      <c r="P33" t="str">
        <f t="shared" si="0"/>
        <v>May</v>
      </c>
      <c r="Q33" t="str">
        <f t="shared" si="1"/>
        <v>Sunday</v>
      </c>
      <c r="R33" t="s">
        <v>68</v>
      </c>
    </row>
    <row r="34" spans="1:18">
      <c r="A34">
        <v>2024</v>
      </c>
      <c r="B34" t="s">
        <v>62</v>
      </c>
      <c r="C34" t="s">
        <v>16</v>
      </c>
      <c r="D34" t="s">
        <v>122</v>
      </c>
      <c r="E34" s="2">
        <v>45536</v>
      </c>
      <c r="F34" s="5" t="s">
        <v>123</v>
      </c>
      <c r="G34" t="s">
        <v>27</v>
      </c>
      <c r="H34" t="s">
        <v>28</v>
      </c>
      <c r="I34" t="s">
        <v>29</v>
      </c>
      <c r="J34" t="s">
        <v>53</v>
      </c>
      <c r="K34">
        <v>61</v>
      </c>
      <c r="L34" s="7">
        <v>58</v>
      </c>
      <c r="M34">
        <v>0</v>
      </c>
      <c r="N34">
        <v>2</v>
      </c>
      <c r="O34">
        <v>11</v>
      </c>
      <c r="P34" t="str">
        <f t="shared" si="0"/>
        <v>September</v>
      </c>
      <c r="Q34" t="str">
        <f t="shared" si="1"/>
        <v>Sunday</v>
      </c>
      <c r="R34" t="s">
        <v>45</v>
      </c>
    </row>
    <row r="35" spans="1:18">
      <c r="A35">
        <v>2022</v>
      </c>
      <c r="B35" t="s">
        <v>62</v>
      </c>
      <c r="C35" t="s">
        <v>32</v>
      </c>
      <c r="D35" t="s">
        <v>125</v>
      </c>
      <c r="E35" s="2">
        <v>44823</v>
      </c>
      <c r="F35" s="5" t="s">
        <v>126</v>
      </c>
      <c r="G35" t="s">
        <v>57</v>
      </c>
      <c r="H35" t="s">
        <v>67</v>
      </c>
      <c r="I35" t="s">
        <v>29</v>
      </c>
      <c r="J35" t="s">
        <v>53</v>
      </c>
      <c r="K35">
        <v>43</v>
      </c>
      <c r="L35" s="7">
        <v>65</v>
      </c>
      <c r="M35">
        <v>5</v>
      </c>
      <c r="N35">
        <v>0</v>
      </c>
      <c r="O35">
        <v>41</v>
      </c>
      <c r="P35" t="str">
        <f t="shared" si="0"/>
        <v>September</v>
      </c>
      <c r="Q35" t="str">
        <f t="shared" si="1"/>
        <v>Monday</v>
      </c>
      <c r="R35" t="s">
        <v>124</v>
      </c>
    </row>
    <row r="36" spans="1:18">
      <c r="A36">
        <v>2022</v>
      </c>
      <c r="B36" t="s">
        <v>38</v>
      </c>
      <c r="C36" t="s">
        <v>16</v>
      </c>
      <c r="D36" t="s">
        <v>127</v>
      </c>
      <c r="E36" s="2">
        <v>44922</v>
      </c>
      <c r="F36" s="5" t="s">
        <v>128</v>
      </c>
      <c r="G36" t="s">
        <v>49</v>
      </c>
      <c r="H36" t="s">
        <v>28</v>
      </c>
      <c r="I36" t="s">
        <v>44</v>
      </c>
      <c r="J36" t="s">
        <v>22</v>
      </c>
      <c r="K36">
        <v>39</v>
      </c>
      <c r="L36" s="7">
        <v>44</v>
      </c>
      <c r="M36">
        <v>1</v>
      </c>
      <c r="N36">
        <v>2</v>
      </c>
      <c r="O36">
        <v>34</v>
      </c>
      <c r="P36" t="str">
        <f t="shared" si="0"/>
        <v>December</v>
      </c>
      <c r="Q36" t="str">
        <f t="shared" si="1"/>
        <v>Tuesday</v>
      </c>
      <c r="R36" t="s">
        <v>58</v>
      </c>
    </row>
    <row r="37" spans="1:18">
      <c r="A37">
        <v>2022</v>
      </c>
      <c r="B37" t="s">
        <v>77</v>
      </c>
      <c r="C37" t="s">
        <v>32</v>
      </c>
      <c r="D37" t="s">
        <v>129</v>
      </c>
      <c r="E37" s="2">
        <v>44651</v>
      </c>
      <c r="F37" s="5" t="s">
        <v>130</v>
      </c>
      <c r="G37" t="s">
        <v>57</v>
      </c>
      <c r="H37" t="s">
        <v>67</v>
      </c>
      <c r="I37" t="s">
        <v>44</v>
      </c>
      <c r="J37" t="s">
        <v>53</v>
      </c>
      <c r="K37">
        <v>20</v>
      </c>
      <c r="L37" s="7">
        <v>48</v>
      </c>
      <c r="M37">
        <v>4</v>
      </c>
      <c r="N37">
        <v>6</v>
      </c>
      <c r="O37">
        <v>22</v>
      </c>
      <c r="P37" t="str">
        <f t="shared" si="0"/>
        <v>March</v>
      </c>
      <c r="Q37" t="str">
        <f t="shared" si="1"/>
        <v>Thursday</v>
      </c>
      <c r="R37" t="s">
        <v>45</v>
      </c>
    </row>
    <row r="38" spans="1:18">
      <c r="A38">
        <v>2023</v>
      </c>
      <c r="B38" t="s">
        <v>131</v>
      </c>
      <c r="C38" t="s">
        <v>16</v>
      </c>
      <c r="D38" t="s">
        <v>132</v>
      </c>
      <c r="E38" s="2">
        <v>45188</v>
      </c>
      <c r="F38" s="5" t="s">
        <v>133</v>
      </c>
      <c r="G38" t="s">
        <v>19</v>
      </c>
      <c r="H38" t="s">
        <v>28</v>
      </c>
      <c r="I38" t="s">
        <v>44</v>
      </c>
      <c r="J38" t="s">
        <v>22</v>
      </c>
      <c r="K38">
        <v>43</v>
      </c>
      <c r="L38" s="7">
        <v>49</v>
      </c>
      <c r="M38">
        <v>4</v>
      </c>
      <c r="N38">
        <v>6</v>
      </c>
      <c r="O38">
        <v>21</v>
      </c>
      <c r="P38" t="str">
        <f t="shared" si="0"/>
        <v>September</v>
      </c>
      <c r="Q38" t="str">
        <f t="shared" si="1"/>
        <v>Tuesday</v>
      </c>
      <c r="R38" t="s">
        <v>71</v>
      </c>
    </row>
    <row r="39" spans="1:18">
      <c r="A39">
        <v>2023</v>
      </c>
      <c r="B39" t="s">
        <v>41</v>
      </c>
      <c r="C39" t="s">
        <v>16</v>
      </c>
      <c r="D39" t="s">
        <v>134</v>
      </c>
      <c r="E39" s="2">
        <v>45215</v>
      </c>
      <c r="F39" s="5" t="s">
        <v>135</v>
      </c>
      <c r="G39" t="s">
        <v>35</v>
      </c>
      <c r="H39" t="s">
        <v>36</v>
      </c>
      <c r="I39" t="s">
        <v>29</v>
      </c>
      <c r="J39" t="s">
        <v>53</v>
      </c>
      <c r="K39">
        <v>50</v>
      </c>
      <c r="L39" s="7">
        <v>100</v>
      </c>
      <c r="M39">
        <v>2</v>
      </c>
      <c r="N39">
        <v>3</v>
      </c>
      <c r="O39">
        <v>21</v>
      </c>
      <c r="P39" t="str">
        <f t="shared" si="0"/>
        <v>October</v>
      </c>
      <c r="Q39" t="str">
        <f t="shared" si="1"/>
        <v>Monday</v>
      </c>
      <c r="R39" t="s">
        <v>14</v>
      </c>
    </row>
    <row r="40" spans="1:18">
      <c r="A40">
        <v>2025</v>
      </c>
      <c r="B40" t="s">
        <v>136</v>
      </c>
      <c r="C40" t="s">
        <v>32</v>
      </c>
      <c r="D40" t="s">
        <v>137</v>
      </c>
      <c r="E40" s="2">
        <v>45991</v>
      </c>
      <c r="F40" s="5" t="s">
        <v>138</v>
      </c>
      <c r="G40" t="s">
        <v>27</v>
      </c>
      <c r="H40" t="s">
        <v>20</v>
      </c>
      <c r="I40" t="s">
        <v>29</v>
      </c>
      <c r="J40" t="s">
        <v>53</v>
      </c>
      <c r="K40">
        <v>48</v>
      </c>
      <c r="L40" s="7">
        <v>99</v>
      </c>
      <c r="M40">
        <v>4</v>
      </c>
      <c r="N40">
        <v>3</v>
      </c>
      <c r="O40">
        <v>34</v>
      </c>
      <c r="P40" t="str">
        <f t="shared" si="0"/>
        <v>November</v>
      </c>
      <c r="Q40" t="str">
        <f t="shared" si="1"/>
        <v>Sunday</v>
      </c>
      <c r="R40" t="s">
        <v>37</v>
      </c>
    </row>
    <row r="41" spans="1:18">
      <c r="A41">
        <v>2022</v>
      </c>
      <c r="B41" t="s">
        <v>136</v>
      </c>
      <c r="C41" t="s">
        <v>16</v>
      </c>
      <c r="D41" t="s">
        <v>139</v>
      </c>
      <c r="E41" s="2">
        <v>44923</v>
      </c>
      <c r="F41" s="5" t="s">
        <v>140</v>
      </c>
      <c r="G41" t="s">
        <v>27</v>
      </c>
      <c r="H41" t="s">
        <v>20</v>
      </c>
      <c r="I41" t="s">
        <v>21</v>
      </c>
      <c r="J41" t="s">
        <v>53</v>
      </c>
      <c r="K41">
        <v>40</v>
      </c>
      <c r="L41" s="7">
        <v>47</v>
      </c>
      <c r="M41">
        <v>1</v>
      </c>
      <c r="N41">
        <v>4</v>
      </c>
      <c r="O41">
        <v>35</v>
      </c>
      <c r="P41" t="str">
        <f t="shared" si="0"/>
        <v>December</v>
      </c>
      <c r="Q41" t="str">
        <f t="shared" si="1"/>
        <v>Wednesday</v>
      </c>
      <c r="R41" t="s">
        <v>30</v>
      </c>
    </row>
    <row r="42" spans="1:18">
      <c r="A42">
        <v>2025</v>
      </c>
      <c r="B42" t="s">
        <v>141</v>
      </c>
      <c r="C42" t="s">
        <v>32</v>
      </c>
      <c r="D42" t="s">
        <v>142</v>
      </c>
      <c r="E42" s="2">
        <v>45926</v>
      </c>
      <c r="F42" s="5" t="s">
        <v>143</v>
      </c>
      <c r="G42" t="s">
        <v>35</v>
      </c>
      <c r="H42" t="s">
        <v>67</v>
      </c>
      <c r="I42" t="s">
        <v>29</v>
      </c>
      <c r="J42" t="s">
        <v>53</v>
      </c>
      <c r="K42">
        <v>37</v>
      </c>
      <c r="L42" s="7">
        <v>40</v>
      </c>
      <c r="M42">
        <v>1</v>
      </c>
      <c r="N42">
        <v>5</v>
      </c>
      <c r="O42">
        <v>39</v>
      </c>
      <c r="P42" t="str">
        <f t="shared" si="0"/>
        <v>September</v>
      </c>
      <c r="Q42" t="str">
        <f t="shared" si="1"/>
        <v>Friday</v>
      </c>
      <c r="R42" t="s">
        <v>45</v>
      </c>
    </row>
    <row r="43" spans="1:18">
      <c r="A43">
        <v>2025</v>
      </c>
      <c r="B43" t="s">
        <v>144</v>
      </c>
      <c r="C43" t="s">
        <v>32</v>
      </c>
      <c r="D43" t="s">
        <v>145</v>
      </c>
      <c r="E43" s="2">
        <v>46020</v>
      </c>
      <c r="F43" s="5" t="s">
        <v>146</v>
      </c>
      <c r="G43" t="s">
        <v>49</v>
      </c>
      <c r="H43" t="s">
        <v>20</v>
      </c>
      <c r="I43" t="s">
        <v>21</v>
      </c>
      <c r="J43" t="s">
        <v>53</v>
      </c>
      <c r="K43">
        <v>50</v>
      </c>
      <c r="L43" s="7">
        <v>57</v>
      </c>
      <c r="M43">
        <v>2</v>
      </c>
      <c r="N43">
        <v>5</v>
      </c>
      <c r="O43">
        <v>23</v>
      </c>
      <c r="P43" t="str">
        <f t="shared" si="0"/>
        <v>December</v>
      </c>
      <c r="Q43" t="str">
        <f t="shared" si="1"/>
        <v>Monday</v>
      </c>
      <c r="R43" t="s">
        <v>68</v>
      </c>
    </row>
    <row r="44" spans="1:18">
      <c r="A44">
        <v>2024</v>
      </c>
      <c r="B44" t="s">
        <v>147</v>
      </c>
      <c r="C44" t="s">
        <v>16</v>
      </c>
      <c r="D44" t="s">
        <v>148</v>
      </c>
      <c r="E44" s="2">
        <v>45524</v>
      </c>
      <c r="F44" s="5" t="s">
        <v>149</v>
      </c>
      <c r="G44" t="s">
        <v>19</v>
      </c>
      <c r="H44" t="s">
        <v>36</v>
      </c>
      <c r="I44" t="s">
        <v>44</v>
      </c>
      <c r="J44" t="s">
        <v>53</v>
      </c>
      <c r="K44">
        <v>26</v>
      </c>
      <c r="L44" s="7">
        <v>65</v>
      </c>
      <c r="M44">
        <v>2</v>
      </c>
      <c r="N44">
        <v>0</v>
      </c>
      <c r="O44">
        <v>23</v>
      </c>
      <c r="P44" t="str">
        <f t="shared" si="0"/>
        <v>August</v>
      </c>
      <c r="Q44" t="str">
        <f t="shared" si="1"/>
        <v>Tuesday</v>
      </c>
      <c r="R44" t="s">
        <v>71</v>
      </c>
    </row>
    <row r="45" spans="1:18">
      <c r="A45">
        <v>2023</v>
      </c>
      <c r="B45" t="s">
        <v>62</v>
      </c>
      <c r="C45" t="s">
        <v>16</v>
      </c>
      <c r="D45" t="s">
        <v>150</v>
      </c>
      <c r="E45" s="2">
        <v>44950</v>
      </c>
      <c r="F45" s="5" t="s">
        <v>151</v>
      </c>
      <c r="G45" t="s">
        <v>35</v>
      </c>
      <c r="H45" t="s">
        <v>20</v>
      </c>
      <c r="I45" t="s">
        <v>29</v>
      </c>
      <c r="J45" t="s">
        <v>22</v>
      </c>
      <c r="K45">
        <v>43</v>
      </c>
      <c r="L45" s="7">
        <v>45</v>
      </c>
      <c r="M45">
        <v>1</v>
      </c>
      <c r="N45">
        <v>3</v>
      </c>
      <c r="O45">
        <v>16</v>
      </c>
      <c r="P45" t="str">
        <f t="shared" si="0"/>
        <v>January</v>
      </c>
      <c r="Q45" t="str">
        <f t="shared" si="1"/>
        <v>Tuesday</v>
      </c>
      <c r="R45" t="s">
        <v>23</v>
      </c>
    </row>
    <row r="46" spans="1:18">
      <c r="A46">
        <v>2024</v>
      </c>
      <c r="B46" t="s">
        <v>131</v>
      </c>
      <c r="C46" t="s">
        <v>32</v>
      </c>
      <c r="D46" t="s">
        <v>152</v>
      </c>
      <c r="E46" s="2">
        <v>45360</v>
      </c>
      <c r="F46" s="5" t="s">
        <v>153</v>
      </c>
      <c r="G46" t="s">
        <v>49</v>
      </c>
      <c r="H46" t="s">
        <v>67</v>
      </c>
      <c r="I46" t="s">
        <v>44</v>
      </c>
      <c r="J46" t="s">
        <v>22</v>
      </c>
      <c r="K46">
        <v>44</v>
      </c>
      <c r="L46" s="7">
        <v>51</v>
      </c>
      <c r="M46">
        <v>4</v>
      </c>
      <c r="N46">
        <v>3</v>
      </c>
      <c r="O46">
        <v>12</v>
      </c>
      <c r="P46" t="str">
        <f t="shared" si="0"/>
        <v>March</v>
      </c>
      <c r="Q46" t="str">
        <f t="shared" si="1"/>
        <v>Saturday</v>
      </c>
      <c r="R46" t="s">
        <v>58</v>
      </c>
    </row>
    <row r="47" spans="1:18">
      <c r="A47">
        <v>2023</v>
      </c>
      <c r="B47" t="s">
        <v>41</v>
      </c>
      <c r="C47" t="s">
        <v>16</v>
      </c>
      <c r="D47" t="s">
        <v>154</v>
      </c>
      <c r="E47" s="2">
        <v>45272</v>
      </c>
      <c r="F47" s="5" t="s">
        <v>155</v>
      </c>
      <c r="G47" t="s">
        <v>27</v>
      </c>
      <c r="H47" t="s">
        <v>20</v>
      </c>
      <c r="I47" t="s">
        <v>21</v>
      </c>
      <c r="J47" t="s">
        <v>53</v>
      </c>
      <c r="K47">
        <v>64</v>
      </c>
      <c r="L47" s="7">
        <v>110</v>
      </c>
      <c r="M47">
        <v>0</v>
      </c>
      <c r="N47">
        <v>3</v>
      </c>
      <c r="O47">
        <v>21</v>
      </c>
      <c r="P47" t="str">
        <f t="shared" si="0"/>
        <v>December</v>
      </c>
      <c r="Q47" t="str">
        <f t="shared" si="1"/>
        <v>Tuesday</v>
      </c>
      <c r="R47" t="s">
        <v>30</v>
      </c>
    </row>
    <row r="48" spans="1:18">
      <c r="A48">
        <v>2022</v>
      </c>
      <c r="B48" t="s">
        <v>156</v>
      </c>
      <c r="C48" t="s">
        <v>32</v>
      </c>
      <c r="D48" t="s">
        <v>157</v>
      </c>
      <c r="E48" s="2">
        <v>44766</v>
      </c>
      <c r="F48" s="5" t="s">
        <v>158</v>
      </c>
      <c r="G48" t="s">
        <v>35</v>
      </c>
      <c r="H48" t="s">
        <v>67</v>
      </c>
      <c r="I48" t="s">
        <v>44</v>
      </c>
      <c r="J48" t="s">
        <v>53</v>
      </c>
      <c r="K48">
        <v>53</v>
      </c>
      <c r="L48" s="7">
        <v>111</v>
      </c>
      <c r="M48">
        <v>4</v>
      </c>
      <c r="N48">
        <v>0</v>
      </c>
      <c r="O48">
        <v>19</v>
      </c>
      <c r="P48" t="str">
        <f t="shared" si="0"/>
        <v>July</v>
      </c>
      <c r="Q48" t="str">
        <f t="shared" si="1"/>
        <v>Sunday</v>
      </c>
      <c r="R48" t="s">
        <v>45</v>
      </c>
    </row>
    <row r="49" spans="1:18">
      <c r="A49">
        <v>2023</v>
      </c>
      <c r="B49" t="s">
        <v>159</v>
      </c>
      <c r="C49" t="s">
        <v>16</v>
      </c>
      <c r="D49" t="s">
        <v>160</v>
      </c>
      <c r="E49" s="2">
        <v>45158</v>
      </c>
      <c r="F49" s="5" t="s">
        <v>161</v>
      </c>
      <c r="G49" t="s">
        <v>49</v>
      </c>
      <c r="H49" t="s">
        <v>28</v>
      </c>
      <c r="I49" t="s">
        <v>29</v>
      </c>
      <c r="J49" t="s">
        <v>53</v>
      </c>
      <c r="K49">
        <v>26</v>
      </c>
      <c r="L49" s="7">
        <v>67</v>
      </c>
      <c r="M49">
        <v>2</v>
      </c>
      <c r="N49">
        <v>5</v>
      </c>
      <c r="O49">
        <v>45</v>
      </c>
      <c r="P49" t="str">
        <f t="shared" si="0"/>
        <v>August</v>
      </c>
      <c r="Q49" t="str">
        <f t="shared" si="1"/>
        <v>Sunday</v>
      </c>
      <c r="R49" t="s">
        <v>58</v>
      </c>
    </row>
    <row r="50" spans="1:18">
      <c r="A50">
        <v>2025</v>
      </c>
      <c r="B50" t="s">
        <v>106</v>
      </c>
      <c r="C50" t="s">
        <v>16</v>
      </c>
      <c r="D50" t="s">
        <v>162</v>
      </c>
      <c r="E50" s="2">
        <v>45822</v>
      </c>
      <c r="F50" s="5" t="s">
        <v>163</v>
      </c>
      <c r="G50" t="s">
        <v>27</v>
      </c>
      <c r="H50" t="s">
        <v>36</v>
      </c>
      <c r="I50" t="s">
        <v>29</v>
      </c>
      <c r="J50" t="s">
        <v>53</v>
      </c>
      <c r="K50">
        <v>63</v>
      </c>
      <c r="L50" s="7">
        <v>58</v>
      </c>
      <c r="M50">
        <v>2</v>
      </c>
      <c r="N50">
        <v>6</v>
      </c>
      <c r="O50">
        <v>29</v>
      </c>
      <c r="P50" t="str">
        <f t="shared" si="0"/>
        <v>June</v>
      </c>
      <c r="Q50" t="str">
        <f t="shared" si="1"/>
        <v>Saturday</v>
      </c>
      <c r="R50" t="s">
        <v>45</v>
      </c>
    </row>
    <row r="51" spans="1:18">
      <c r="A51">
        <v>2024</v>
      </c>
      <c r="B51" t="s">
        <v>38</v>
      </c>
      <c r="C51" t="s">
        <v>32</v>
      </c>
      <c r="D51" t="s">
        <v>164</v>
      </c>
      <c r="E51" s="2">
        <v>45448</v>
      </c>
      <c r="F51" s="5" t="s">
        <v>165</v>
      </c>
      <c r="G51" t="s">
        <v>49</v>
      </c>
      <c r="H51" t="s">
        <v>67</v>
      </c>
      <c r="I51" t="s">
        <v>29</v>
      </c>
      <c r="J51" t="s">
        <v>53</v>
      </c>
      <c r="K51">
        <v>31</v>
      </c>
      <c r="L51" s="7">
        <v>71</v>
      </c>
      <c r="M51">
        <v>1</v>
      </c>
      <c r="N51">
        <v>2</v>
      </c>
      <c r="O51">
        <v>14</v>
      </c>
      <c r="P51" t="str">
        <f t="shared" si="0"/>
        <v>June</v>
      </c>
      <c r="Q51" t="str">
        <f t="shared" si="1"/>
        <v>Wednesday</v>
      </c>
      <c r="R51" t="s">
        <v>105</v>
      </c>
    </row>
    <row r="52" spans="1:18">
      <c r="A52">
        <v>2024</v>
      </c>
      <c r="B52" t="s">
        <v>131</v>
      </c>
      <c r="C52" t="s">
        <v>32</v>
      </c>
      <c r="D52" t="s">
        <v>166</v>
      </c>
      <c r="E52" s="2">
        <v>45626</v>
      </c>
      <c r="F52" s="5" t="s">
        <v>167</v>
      </c>
      <c r="G52" t="s">
        <v>35</v>
      </c>
      <c r="H52" t="s">
        <v>36</v>
      </c>
      <c r="I52" t="s">
        <v>21</v>
      </c>
      <c r="J52" t="s">
        <v>53</v>
      </c>
      <c r="K52">
        <v>48</v>
      </c>
      <c r="L52" s="7">
        <v>54</v>
      </c>
      <c r="M52">
        <v>1</v>
      </c>
      <c r="N52">
        <v>4</v>
      </c>
      <c r="O52">
        <v>44</v>
      </c>
      <c r="P52" t="str">
        <f t="shared" si="0"/>
        <v>November</v>
      </c>
      <c r="Q52" t="str">
        <f t="shared" si="1"/>
        <v>Saturday</v>
      </c>
      <c r="R52" t="s">
        <v>68</v>
      </c>
    </row>
    <row r="53" spans="1:18">
      <c r="A53">
        <v>2024</v>
      </c>
      <c r="B53" t="s">
        <v>106</v>
      </c>
      <c r="C53" t="s">
        <v>16</v>
      </c>
      <c r="D53" t="s">
        <v>168</v>
      </c>
      <c r="E53" s="2">
        <v>45560</v>
      </c>
      <c r="F53" s="5" t="s">
        <v>169</v>
      </c>
      <c r="G53" t="s">
        <v>49</v>
      </c>
      <c r="H53" t="s">
        <v>20</v>
      </c>
      <c r="I53" t="s">
        <v>21</v>
      </c>
      <c r="J53" t="s">
        <v>22</v>
      </c>
      <c r="K53">
        <v>45</v>
      </c>
      <c r="L53" s="7">
        <v>45</v>
      </c>
      <c r="M53">
        <v>2</v>
      </c>
      <c r="N53">
        <v>5</v>
      </c>
      <c r="O53">
        <v>24</v>
      </c>
      <c r="P53" t="str">
        <f t="shared" si="0"/>
        <v>September</v>
      </c>
      <c r="Q53" t="str">
        <f t="shared" si="1"/>
        <v>Wednesday</v>
      </c>
      <c r="R53" t="s">
        <v>45</v>
      </c>
    </row>
    <row r="54" spans="1:18">
      <c r="A54">
        <v>2022</v>
      </c>
      <c r="B54" t="s">
        <v>85</v>
      </c>
      <c r="C54" t="s">
        <v>16</v>
      </c>
      <c r="D54" t="s">
        <v>170</v>
      </c>
      <c r="E54" s="2">
        <v>44633</v>
      </c>
      <c r="F54" s="5" t="s">
        <v>171</v>
      </c>
      <c r="G54" t="s">
        <v>49</v>
      </c>
      <c r="H54" t="s">
        <v>20</v>
      </c>
      <c r="I54" t="s">
        <v>29</v>
      </c>
      <c r="J54" t="s">
        <v>53</v>
      </c>
      <c r="K54">
        <v>35</v>
      </c>
      <c r="L54" s="7">
        <v>112</v>
      </c>
      <c r="M54">
        <v>4</v>
      </c>
      <c r="N54">
        <v>1</v>
      </c>
      <c r="O54">
        <v>21</v>
      </c>
      <c r="P54" t="str">
        <f t="shared" si="0"/>
        <v>March</v>
      </c>
      <c r="Q54" t="str">
        <f t="shared" si="1"/>
        <v>Sunday</v>
      </c>
      <c r="R54" t="s">
        <v>105</v>
      </c>
    </row>
    <row r="55" spans="1:18">
      <c r="A55">
        <v>2025</v>
      </c>
      <c r="B55" t="s">
        <v>172</v>
      </c>
      <c r="C55" t="s">
        <v>32</v>
      </c>
      <c r="D55" t="s">
        <v>173</v>
      </c>
      <c r="E55" s="2">
        <v>45975</v>
      </c>
      <c r="F55" s="5" t="s">
        <v>174</v>
      </c>
      <c r="G55" t="s">
        <v>57</v>
      </c>
      <c r="H55" t="s">
        <v>28</v>
      </c>
      <c r="I55" t="s">
        <v>21</v>
      </c>
      <c r="J55" t="s">
        <v>53</v>
      </c>
      <c r="K55">
        <v>55</v>
      </c>
      <c r="L55" s="7">
        <v>80</v>
      </c>
      <c r="M55">
        <v>1</v>
      </c>
      <c r="N55">
        <v>1</v>
      </c>
      <c r="O55">
        <v>45</v>
      </c>
      <c r="P55" t="str">
        <f t="shared" si="0"/>
        <v>November</v>
      </c>
      <c r="Q55" t="str">
        <f t="shared" si="1"/>
        <v>Friday</v>
      </c>
      <c r="R55" t="s">
        <v>45</v>
      </c>
    </row>
    <row r="56" spans="1:18">
      <c r="A56">
        <v>2023</v>
      </c>
      <c r="B56" t="s">
        <v>175</v>
      </c>
      <c r="C56" t="s">
        <v>16</v>
      </c>
      <c r="D56" t="s">
        <v>176</v>
      </c>
      <c r="E56" s="2">
        <v>45218</v>
      </c>
      <c r="F56" s="5" t="s">
        <v>177</v>
      </c>
      <c r="G56" t="s">
        <v>49</v>
      </c>
      <c r="H56" t="s">
        <v>36</v>
      </c>
      <c r="I56" t="s">
        <v>44</v>
      </c>
      <c r="J56" t="s">
        <v>53</v>
      </c>
      <c r="K56">
        <v>21</v>
      </c>
      <c r="L56" s="7">
        <v>94</v>
      </c>
      <c r="M56">
        <v>2</v>
      </c>
      <c r="N56">
        <v>4</v>
      </c>
      <c r="O56">
        <v>14</v>
      </c>
      <c r="P56" t="str">
        <f t="shared" si="0"/>
        <v>October</v>
      </c>
      <c r="Q56" t="str">
        <f t="shared" si="1"/>
        <v>Thursday</v>
      </c>
      <c r="R56" t="s">
        <v>124</v>
      </c>
    </row>
    <row r="57" spans="1:18">
      <c r="A57">
        <v>2022</v>
      </c>
      <c r="B57" t="s">
        <v>62</v>
      </c>
      <c r="C57" t="s">
        <v>32</v>
      </c>
      <c r="D57" t="s">
        <v>178</v>
      </c>
      <c r="E57" s="2">
        <v>44670</v>
      </c>
      <c r="F57" s="5" t="s">
        <v>179</v>
      </c>
      <c r="G57" t="s">
        <v>27</v>
      </c>
      <c r="H57" t="s">
        <v>20</v>
      </c>
      <c r="I57" t="s">
        <v>44</v>
      </c>
      <c r="J57" t="s">
        <v>22</v>
      </c>
      <c r="K57">
        <v>38</v>
      </c>
      <c r="L57" s="7">
        <v>84</v>
      </c>
      <c r="M57">
        <v>3</v>
      </c>
      <c r="N57">
        <v>6</v>
      </c>
      <c r="O57">
        <v>9</v>
      </c>
      <c r="P57" t="str">
        <f t="shared" si="0"/>
        <v>April</v>
      </c>
      <c r="Q57" t="str">
        <f t="shared" si="1"/>
        <v>Tuesday</v>
      </c>
      <c r="R57" t="s">
        <v>37</v>
      </c>
    </row>
    <row r="58" spans="1:18">
      <c r="A58">
        <v>2022</v>
      </c>
      <c r="B58" t="s">
        <v>172</v>
      </c>
      <c r="C58" t="s">
        <v>32</v>
      </c>
      <c r="D58" t="s">
        <v>180</v>
      </c>
      <c r="E58" s="2">
        <v>44769</v>
      </c>
      <c r="F58" s="5" t="s">
        <v>181</v>
      </c>
      <c r="G58" t="s">
        <v>27</v>
      </c>
      <c r="H58" t="s">
        <v>20</v>
      </c>
      <c r="I58" t="s">
        <v>44</v>
      </c>
      <c r="J58" t="s">
        <v>22</v>
      </c>
      <c r="K58">
        <v>41</v>
      </c>
      <c r="L58" s="7">
        <v>74</v>
      </c>
      <c r="M58">
        <v>1</v>
      </c>
      <c r="N58">
        <v>1</v>
      </c>
      <c r="O58">
        <v>43</v>
      </c>
      <c r="P58" t="str">
        <f t="shared" si="0"/>
        <v>July</v>
      </c>
      <c r="Q58" t="str">
        <f t="shared" si="1"/>
        <v>Wednesday</v>
      </c>
      <c r="R58" t="s">
        <v>124</v>
      </c>
    </row>
    <row r="59" spans="1:18">
      <c r="A59">
        <v>2022</v>
      </c>
      <c r="B59" t="s">
        <v>50</v>
      </c>
      <c r="C59" t="s">
        <v>16</v>
      </c>
      <c r="D59" t="s">
        <v>182</v>
      </c>
      <c r="E59" s="2">
        <v>44822</v>
      </c>
      <c r="F59" s="5" t="s">
        <v>183</v>
      </c>
      <c r="G59" t="s">
        <v>57</v>
      </c>
      <c r="H59" t="s">
        <v>36</v>
      </c>
      <c r="I59" t="s">
        <v>29</v>
      </c>
      <c r="J59" t="s">
        <v>22</v>
      </c>
      <c r="K59">
        <v>29</v>
      </c>
      <c r="L59" s="7">
        <v>57</v>
      </c>
      <c r="M59">
        <v>1</v>
      </c>
      <c r="N59">
        <v>4</v>
      </c>
      <c r="O59">
        <v>16</v>
      </c>
      <c r="P59" t="str">
        <f t="shared" si="0"/>
        <v>September</v>
      </c>
      <c r="Q59" t="str">
        <f t="shared" si="1"/>
        <v>Sunday</v>
      </c>
      <c r="R59" t="s">
        <v>58</v>
      </c>
    </row>
    <row r="60" spans="1:18">
      <c r="A60">
        <v>2022</v>
      </c>
      <c r="B60" t="s">
        <v>72</v>
      </c>
      <c r="C60" t="s">
        <v>32</v>
      </c>
      <c r="D60" t="s">
        <v>184</v>
      </c>
      <c r="E60" s="2">
        <v>44761</v>
      </c>
      <c r="F60" s="5" t="s">
        <v>185</v>
      </c>
      <c r="G60" t="s">
        <v>35</v>
      </c>
      <c r="H60" t="s">
        <v>28</v>
      </c>
      <c r="I60" t="s">
        <v>21</v>
      </c>
      <c r="J60" t="s">
        <v>22</v>
      </c>
      <c r="K60">
        <v>19</v>
      </c>
      <c r="L60" s="7">
        <v>86</v>
      </c>
      <c r="M60">
        <v>2</v>
      </c>
      <c r="N60">
        <v>1</v>
      </c>
      <c r="O60">
        <v>37</v>
      </c>
      <c r="P60" t="str">
        <f t="shared" si="0"/>
        <v>July</v>
      </c>
      <c r="Q60" t="str">
        <f t="shared" si="1"/>
        <v>Tuesday</v>
      </c>
      <c r="R60" t="s">
        <v>45</v>
      </c>
    </row>
    <row r="61" spans="1:18">
      <c r="A61">
        <v>2022</v>
      </c>
      <c r="B61" t="s">
        <v>59</v>
      </c>
      <c r="C61" t="s">
        <v>16</v>
      </c>
      <c r="D61" t="s">
        <v>186</v>
      </c>
      <c r="E61" s="2">
        <v>44760</v>
      </c>
      <c r="F61" s="5" t="s">
        <v>187</v>
      </c>
      <c r="G61" t="s">
        <v>49</v>
      </c>
      <c r="H61" t="s">
        <v>20</v>
      </c>
      <c r="I61" t="s">
        <v>44</v>
      </c>
      <c r="J61" t="s">
        <v>53</v>
      </c>
      <c r="K61">
        <v>61</v>
      </c>
      <c r="L61" s="7">
        <v>77</v>
      </c>
      <c r="M61">
        <v>5</v>
      </c>
      <c r="N61">
        <v>6</v>
      </c>
      <c r="O61">
        <v>21</v>
      </c>
      <c r="P61" t="str">
        <f t="shared" si="0"/>
        <v>July</v>
      </c>
      <c r="Q61" t="str">
        <f t="shared" si="1"/>
        <v>Monday</v>
      </c>
      <c r="R61" t="s">
        <v>124</v>
      </c>
    </row>
    <row r="62" spans="1:18">
      <c r="A62">
        <v>2025</v>
      </c>
      <c r="B62" t="s">
        <v>82</v>
      </c>
      <c r="C62" t="s">
        <v>32</v>
      </c>
      <c r="D62" t="s">
        <v>188</v>
      </c>
      <c r="E62" s="2">
        <v>45847</v>
      </c>
      <c r="F62" s="5" t="s">
        <v>189</v>
      </c>
      <c r="G62" t="s">
        <v>57</v>
      </c>
      <c r="H62" t="s">
        <v>20</v>
      </c>
      <c r="I62" t="s">
        <v>44</v>
      </c>
      <c r="J62" t="s">
        <v>22</v>
      </c>
      <c r="K62">
        <v>29</v>
      </c>
      <c r="L62" s="7">
        <v>67</v>
      </c>
      <c r="M62">
        <v>1</v>
      </c>
      <c r="N62">
        <v>0</v>
      </c>
      <c r="O62">
        <v>20</v>
      </c>
      <c r="P62" t="str">
        <f t="shared" si="0"/>
        <v>July</v>
      </c>
      <c r="Q62" t="str">
        <f t="shared" si="1"/>
        <v>Wednesday</v>
      </c>
      <c r="R62" t="s">
        <v>71</v>
      </c>
    </row>
    <row r="63" spans="1:18">
      <c r="A63">
        <v>2024</v>
      </c>
      <c r="B63" t="s">
        <v>88</v>
      </c>
      <c r="C63" t="s">
        <v>16</v>
      </c>
      <c r="D63" t="s">
        <v>190</v>
      </c>
      <c r="E63" s="2">
        <v>45372</v>
      </c>
      <c r="F63" s="5" t="s">
        <v>191</v>
      </c>
      <c r="G63" t="s">
        <v>35</v>
      </c>
      <c r="H63" t="s">
        <v>67</v>
      </c>
      <c r="I63" t="s">
        <v>44</v>
      </c>
      <c r="J63" t="s">
        <v>53</v>
      </c>
      <c r="K63">
        <v>28</v>
      </c>
      <c r="L63" s="7">
        <v>57</v>
      </c>
      <c r="M63">
        <v>4</v>
      </c>
      <c r="N63">
        <v>6</v>
      </c>
      <c r="O63">
        <v>10</v>
      </c>
      <c r="P63" t="str">
        <f t="shared" si="0"/>
        <v>March</v>
      </c>
      <c r="Q63" t="str">
        <f t="shared" si="1"/>
        <v>Thursday</v>
      </c>
      <c r="R63" t="s">
        <v>68</v>
      </c>
    </row>
    <row r="64" spans="1:18">
      <c r="A64">
        <v>2022</v>
      </c>
      <c r="B64" t="s">
        <v>106</v>
      </c>
      <c r="C64" t="s">
        <v>16</v>
      </c>
      <c r="D64" t="s">
        <v>192</v>
      </c>
      <c r="E64" s="2">
        <v>44877</v>
      </c>
      <c r="F64" s="5" t="s">
        <v>193</v>
      </c>
      <c r="G64" t="s">
        <v>19</v>
      </c>
      <c r="H64" t="s">
        <v>67</v>
      </c>
      <c r="I64" t="s">
        <v>29</v>
      </c>
      <c r="J64" t="s">
        <v>53</v>
      </c>
      <c r="K64">
        <v>47</v>
      </c>
      <c r="L64" s="7">
        <v>93</v>
      </c>
      <c r="M64">
        <v>4</v>
      </c>
      <c r="N64">
        <v>6</v>
      </c>
      <c r="O64">
        <v>30</v>
      </c>
      <c r="P64" t="str">
        <f t="shared" si="0"/>
        <v>November</v>
      </c>
      <c r="Q64" t="str">
        <f t="shared" si="1"/>
        <v>Saturday</v>
      </c>
      <c r="R64" t="s">
        <v>45</v>
      </c>
    </row>
    <row r="65" spans="1:18">
      <c r="A65">
        <v>2024</v>
      </c>
      <c r="B65" t="s">
        <v>59</v>
      </c>
      <c r="C65" t="s">
        <v>16</v>
      </c>
      <c r="D65" t="s">
        <v>194</v>
      </c>
      <c r="E65" s="2">
        <v>45476</v>
      </c>
      <c r="F65" s="5" t="s">
        <v>195</v>
      </c>
      <c r="G65" t="s">
        <v>57</v>
      </c>
      <c r="H65" t="s">
        <v>67</v>
      </c>
      <c r="I65" t="s">
        <v>44</v>
      </c>
      <c r="J65" t="s">
        <v>53</v>
      </c>
      <c r="K65">
        <v>52</v>
      </c>
      <c r="L65" s="7">
        <v>49</v>
      </c>
      <c r="M65">
        <v>3</v>
      </c>
      <c r="N65">
        <v>0</v>
      </c>
      <c r="O65">
        <v>24</v>
      </c>
      <c r="P65" t="str">
        <f t="shared" si="0"/>
        <v>July</v>
      </c>
      <c r="Q65" t="str">
        <f t="shared" si="1"/>
        <v>Wednesday</v>
      </c>
      <c r="R65" t="s">
        <v>37</v>
      </c>
    </row>
    <row r="66" spans="1:18">
      <c r="A66">
        <v>2025</v>
      </c>
      <c r="B66" t="s">
        <v>38</v>
      </c>
      <c r="C66" t="s">
        <v>16</v>
      </c>
      <c r="D66" t="s">
        <v>196</v>
      </c>
      <c r="E66" s="2">
        <v>45718</v>
      </c>
      <c r="F66" s="5" t="s">
        <v>197</v>
      </c>
      <c r="G66" t="s">
        <v>19</v>
      </c>
      <c r="H66" t="s">
        <v>20</v>
      </c>
      <c r="I66" t="s">
        <v>44</v>
      </c>
      <c r="J66" t="s">
        <v>22</v>
      </c>
      <c r="K66">
        <v>48</v>
      </c>
      <c r="L66" s="7">
        <v>72</v>
      </c>
      <c r="M66">
        <v>0</v>
      </c>
      <c r="N66">
        <v>5</v>
      </c>
      <c r="O66">
        <v>30</v>
      </c>
      <c r="P66" t="str">
        <f t="shared" si="0"/>
        <v>March</v>
      </c>
      <c r="Q66" t="str">
        <f t="shared" si="1"/>
        <v>Sunday</v>
      </c>
      <c r="R66" t="s">
        <v>37</v>
      </c>
    </row>
    <row r="67" spans="1:18">
      <c r="A67">
        <v>2024</v>
      </c>
      <c r="B67" t="s">
        <v>38</v>
      </c>
      <c r="C67" t="s">
        <v>16</v>
      </c>
      <c r="D67" t="s">
        <v>198</v>
      </c>
      <c r="E67" s="2">
        <v>45382</v>
      </c>
      <c r="F67" s="5" t="s">
        <v>199</v>
      </c>
      <c r="G67" t="s">
        <v>57</v>
      </c>
      <c r="H67" t="s">
        <v>20</v>
      </c>
      <c r="I67" t="s">
        <v>29</v>
      </c>
      <c r="J67" t="s">
        <v>53</v>
      </c>
      <c r="K67">
        <v>29</v>
      </c>
      <c r="L67" s="7">
        <v>71</v>
      </c>
      <c r="M67">
        <v>3</v>
      </c>
      <c r="N67">
        <v>0</v>
      </c>
      <c r="O67">
        <v>41</v>
      </c>
      <c r="P67" t="str">
        <f t="shared" ref="P67:P130" si="2">TEXT(E67,"mmmm")</f>
        <v>March</v>
      </c>
      <c r="Q67" t="str">
        <f t="shared" ref="Q67:Q130" si="3">TEXT(E67,"dddd")</f>
        <v>Sunday</v>
      </c>
      <c r="R67" t="s">
        <v>23</v>
      </c>
    </row>
    <row r="68" spans="1:18">
      <c r="A68">
        <v>2024</v>
      </c>
      <c r="B68" t="s">
        <v>172</v>
      </c>
      <c r="C68" t="s">
        <v>32</v>
      </c>
      <c r="D68" t="s">
        <v>200</v>
      </c>
      <c r="E68" s="2">
        <v>45487</v>
      </c>
      <c r="F68" s="5" t="s">
        <v>201</v>
      </c>
      <c r="G68" t="s">
        <v>57</v>
      </c>
      <c r="H68" t="s">
        <v>28</v>
      </c>
      <c r="I68" t="s">
        <v>21</v>
      </c>
      <c r="J68" t="s">
        <v>22</v>
      </c>
      <c r="K68">
        <v>62</v>
      </c>
      <c r="L68" s="7">
        <v>87</v>
      </c>
      <c r="M68">
        <v>1</v>
      </c>
      <c r="N68">
        <v>4</v>
      </c>
      <c r="O68">
        <v>9</v>
      </c>
      <c r="P68" t="str">
        <f t="shared" si="2"/>
        <v>July</v>
      </c>
      <c r="Q68" t="str">
        <f t="shared" si="3"/>
        <v>Sunday</v>
      </c>
      <c r="R68" t="s">
        <v>68</v>
      </c>
    </row>
    <row r="69" spans="1:18">
      <c r="A69">
        <v>2025</v>
      </c>
      <c r="B69" t="s">
        <v>24</v>
      </c>
      <c r="C69" t="s">
        <v>32</v>
      </c>
      <c r="D69" t="s">
        <v>202</v>
      </c>
      <c r="E69" s="2">
        <v>45681</v>
      </c>
      <c r="F69" s="5" t="s">
        <v>203</v>
      </c>
      <c r="G69" t="s">
        <v>57</v>
      </c>
      <c r="H69" t="s">
        <v>28</v>
      </c>
      <c r="I69" t="s">
        <v>29</v>
      </c>
      <c r="J69" t="s">
        <v>53</v>
      </c>
      <c r="K69">
        <v>55</v>
      </c>
      <c r="L69" s="7">
        <v>48</v>
      </c>
      <c r="M69">
        <v>4</v>
      </c>
      <c r="N69">
        <v>3</v>
      </c>
      <c r="O69">
        <v>18</v>
      </c>
      <c r="P69" t="str">
        <f t="shared" si="2"/>
        <v>January</v>
      </c>
      <c r="Q69" t="str">
        <f t="shared" si="3"/>
        <v>Friday</v>
      </c>
      <c r="R69" t="s">
        <v>37</v>
      </c>
    </row>
    <row r="70" spans="1:18">
      <c r="A70">
        <v>2024</v>
      </c>
      <c r="B70" t="s">
        <v>38</v>
      </c>
      <c r="C70" t="s">
        <v>32</v>
      </c>
      <c r="D70" t="s">
        <v>204</v>
      </c>
      <c r="E70" s="2">
        <v>45582</v>
      </c>
      <c r="F70" s="5" t="s">
        <v>205</v>
      </c>
      <c r="G70" t="s">
        <v>49</v>
      </c>
      <c r="H70" t="s">
        <v>36</v>
      </c>
      <c r="I70" t="s">
        <v>29</v>
      </c>
      <c r="J70" t="s">
        <v>22</v>
      </c>
      <c r="K70">
        <v>54</v>
      </c>
      <c r="L70" s="7">
        <v>42</v>
      </c>
      <c r="M70">
        <v>3</v>
      </c>
      <c r="N70">
        <v>1</v>
      </c>
      <c r="O70">
        <v>31</v>
      </c>
      <c r="P70" t="str">
        <f t="shared" si="2"/>
        <v>October</v>
      </c>
      <c r="Q70" t="str">
        <f t="shared" si="3"/>
        <v>Thursday</v>
      </c>
      <c r="R70" t="s">
        <v>45</v>
      </c>
    </row>
    <row r="71" spans="1:18">
      <c r="A71">
        <v>2024</v>
      </c>
      <c r="B71" t="s">
        <v>50</v>
      </c>
      <c r="C71" t="s">
        <v>16</v>
      </c>
      <c r="D71" t="s">
        <v>206</v>
      </c>
      <c r="E71" s="2">
        <v>45432</v>
      </c>
      <c r="F71" s="5" t="s">
        <v>207</v>
      </c>
      <c r="G71" t="s">
        <v>19</v>
      </c>
      <c r="H71" t="s">
        <v>28</v>
      </c>
      <c r="I71" t="s">
        <v>21</v>
      </c>
      <c r="J71" t="s">
        <v>53</v>
      </c>
      <c r="K71">
        <v>33</v>
      </c>
      <c r="L71" s="7">
        <v>116</v>
      </c>
      <c r="M71">
        <v>1</v>
      </c>
      <c r="N71">
        <v>5</v>
      </c>
      <c r="O71">
        <v>43</v>
      </c>
      <c r="P71" t="str">
        <f t="shared" si="2"/>
        <v>May</v>
      </c>
      <c r="Q71" t="str">
        <f t="shared" si="3"/>
        <v>Monday</v>
      </c>
      <c r="R71" t="s">
        <v>58</v>
      </c>
    </row>
    <row r="72" spans="1:18">
      <c r="A72">
        <v>2023</v>
      </c>
      <c r="B72" t="s">
        <v>208</v>
      </c>
      <c r="C72" t="s">
        <v>32</v>
      </c>
      <c r="D72" t="s">
        <v>209</v>
      </c>
      <c r="E72" s="2">
        <v>45168</v>
      </c>
      <c r="F72" s="5" t="s">
        <v>210</v>
      </c>
      <c r="G72" t="s">
        <v>19</v>
      </c>
      <c r="H72" t="s">
        <v>36</v>
      </c>
      <c r="I72" t="s">
        <v>21</v>
      </c>
      <c r="J72" t="s">
        <v>53</v>
      </c>
      <c r="K72">
        <v>50</v>
      </c>
      <c r="L72" s="7">
        <v>106</v>
      </c>
      <c r="M72">
        <v>2</v>
      </c>
      <c r="N72">
        <v>2</v>
      </c>
      <c r="O72">
        <v>12</v>
      </c>
      <c r="P72" t="str">
        <f t="shared" si="2"/>
        <v>August</v>
      </c>
      <c r="Q72" t="str">
        <f t="shared" si="3"/>
        <v>Wednesday</v>
      </c>
      <c r="R72" t="s">
        <v>105</v>
      </c>
    </row>
    <row r="73" spans="1:18">
      <c r="A73">
        <v>2024</v>
      </c>
      <c r="B73" t="s">
        <v>113</v>
      </c>
      <c r="C73" t="s">
        <v>16</v>
      </c>
      <c r="D73" t="s">
        <v>211</v>
      </c>
      <c r="E73" s="2">
        <v>45456</v>
      </c>
      <c r="F73" s="5" t="s">
        <v>212</v>
      </c>
      <c r="G73" t="s">
        <v>19</v>
      </c>
      <c r="H73" t="s">
        <v>20</v>
      </c>
      <c r="I73" t="s">
        <v>44</v>
      </c>
      <c r="J73" t="s">
        <v>22</v>
      </c>
      <c r="K73">
        <v>37</v>
      </c>
      <c r="L73" s="7">
        <v>80</v>
      </c>
      <c r="M73">
        <v>1</v>
      </c>
      <c r="N73">
        <v>0</v>
      </c>
      <c r="O73">
        <v>22</v>
      </c>
      <c r="P73" t="str">
        <f t="shared" si="2"/>
        <v>June</v>
      </c>
      <c r="Q73" t="str">
        <f t="shared" si="3"/>
        <v>Thursday</v>
      </c>
      <c r="R73" t="s">
        <v>105</v>
      </c>
    </row>
    <row r="74" spans="1:18">
      <c r="A74">
        <v>2022</v>
      </c>
      <c r="B74" t="s">
        <v>24</v>
      </c>
      <c r="C74" t="s">
        <v>16</v>
      </c>
      <c r="D74" t="s">
        <v>213</v>
      </c>
      <c r="E74" s="2">
        <v>44621</v>
      </c>
      <c r="F74" s="5" t="s">
        <v>214</v>
      </c>
      <c r="G74" t="s">
        <v>27</v>
      </c>
      <c r="H74" t="s">
        <v>20</v>
      </c>
      <c r="I74" t="s">
        <v>29</v>
      </c>
      <c r="J74" t="s">
        <v>22</v>
      </c>
      <c r="K74">
        <v>47</v>
      </c>
      <c r="L74" s="7">
        <v>82</v>
      </c>
      <c r="M74">
        <v>4</v>
      </c>
      <c r="N74">
        <v>4</v>
      </c>
      <c r="O74">
        <v>18</v>
      </c>
      <c r="P74" t="str">
        <f t="shared" si="2"/>
        <v>March</v>
      </c>
      <c r="Q74" t="str">
        <f t="shared" si="3"/>
        <v>Tuesday</v>
      </c>
      <c r="R74" t="s">
        <v>14</v>
      </c>
    </row>
    <row r="75" spans="1:18">
      <c r="A75">
        <v>2024</v>
      </c>
      <c r="B75" t="s">
        <v>82</v>
      </c>
      <c r="C75" t="s">
        <v>16</v>
      </c>
      <c r="D75" t="s">
        <v>215</v>
      </c>
      <c r="E75" s="2">
        <v>45370</v>
      </c>
      <c r="F75" s="5" t="s">
        <v>216</v>
      </c>
      <c r="G75" t="s">
        <v>35</v>
      </c>
      <c r="H75" t="s">
        <v>20</v>
      </c>
      <c r="I75" t="s">
        <v>29</v>
      </c>
      <c r="J75" t="s">
        <v>53</v>
      </c>
      <c r="K75">
        <v>53</v>
      </c>
      <c r="L75" s="7">
        <v>109</v>
      </c>
      <c r="M75">
        <v>4</v>
      </c>
      <c r="N75">
        <v>0</v>
      </c>
      <c r="O75">
        <v>38</v>
      </c>
      <c r="P75" t="str">
        <f t="shared" si="2"/>
        <v>March</v>
      </c>
      <c r="Q75" t="str">
        <f t="shared" si="3"/>
        <v>Tuesday</v>
      </c>
      <c r="R75" t="s">
        <v>23</v>
      </c>
    </row>
    <row r="76" spans="1:18">
      <c r="A76">
        <v>2022</v>
      </c>
      <c r="B76" t="s">
        <v>147</v>
      </c>
      <c r="C76" t="s">
        <v>16</v>
      </c>
      <c r="D76" t="s">
        <v>217</v>
      </c>
      <c r="E76" s="2">
        <v>44893</v>
      </c>
      <c r="F76" s="5" t="s">
        <v>218</v>
      </c>
      <c r="G76" t="s">
        <v>19</v>
      </c>
      <c r="H76" t="s">
        <v>67</v>
      </c>
      <c r="I76" t="s">
        <v>44</v>
      </c>
      <c r="J76" t="s">
        <v>53</v>
      </c>
      <c r="K76">
        <v>38</v>
      </c>
      <c r="L76" s="7">
        <v>84</v>
      </c>
      <c r="M76">
        <v>3</v>
      </c>
      <c r="N76">
        <v>3</v>
      </c>
      <c r="O76">
        <v>44</v>
      </c>
      <c r="P76" t="str">
        <f t="shared" si="2"/>
        <v>November</v>
      </c>
      <c r="Q76" t="str">
        <f t="shared" si="3"/>
        <v>Monday</v>
      </c>
      <c r="R76" t="s">
        <v>45</v>
      </c>
    </row>
    <row r="77" spans="1:18">
      <c r="A77">
        <v>2022</v>
      </c>
      <c r="B77" t="s">
        <v>77</v>
      </c>
      <c r="C77" t="s">
        <v>16</v>
      </c>
      <c r="D77" t="s">
        <v>219</v>
      </c>
      <c r="E77" s="2">
        <v>44692</v>
      </c>
      <c r="F77" s="5" t="s">
        <v>220</v>
      </c>
      <c r="G77" t="s">
        <v>27</v>
      </c>
      <c r="H77" t="s">
        <v>36</v>
      </c>
      <c r="I77" t="s">
        <v>21</v>
      </c>
      <c r="J77" t="s">
        <v>22</v>
      </c>
      <c r="K77">
        <v>51</v>
      </c>
      <c r="L77" s="7">
        <v>91</v>
      </c>
      <c r="M77">
        <v>0</v>
      </c>
      <c r="N77">
        <v>5</v>
      </c>
      <c r="O77">
        <v>26</v>
      </c>
      <c r="P77" t="str">
        <f t="shared" si="2"/>
        <v>May</v>
      </c>
      <c r="Q77" t="str">
        <f t="shared" si="3"/>
        <v>Wednesday</v>
      </c>
      <c r="R77" t="s">
        <v>105</v>
      </c>
    </row>
    <row r="78" spans="1:18">
      <c r="A78">
        <v>2025</v>
      </c>
      <c r="B78" t="s">
        <v>50</v>
      </c>
      <c r="C78" t="s">
        <v>16</v>
      </c>
      <c r="D78" t="s">
        <v>221</v>
      </c>
      <c r="E78" s="2">
        <v>45987</v>
      </c>
      <c r="F78" s="5" t="s">
        <v>222</v>
      </c>
      <c r="G78" t="s">
        <v>19</v>
      </c>
      <c r="H78" t="s">
        <v>67</v>
      </c>
      <c r="I78" t="s">
        <v>44</v>
      </c>
      <c r="J78" t="s">
        <v>22</v>
      </c>
      <c r="K78">
        <v>39</v>
      </c>
      <c r="L78" s="7">
        <v>108</v>
      </c>
      <c r="M78">
        <v>2</v>
      </c>
      <c r="N78">
        <v>3</v>
      </c>
      <c r="O78">
        <v>8</v>
      </c>
      <c r="P78" t="str">
        <f t="shared" si="2"/>
        <v>November</v>
      </c>
      <c r="Q78" t="str">
        <f t="shared" si="3"/>
        <v>Wednesday</v>
      </c>
      <c r="R78" t="s">
        <v>105</v>
      </c>
    </row>
    <row r="79" spans="1:18">
      <c r="A79">
        <v>2025</v>
      </c>
      <c r="B79" t="s">
        <v>131</v>
      </c>
      <c r="C79" t="s">
        <v>32</v>
      </c>
      <c r="D79" t="s">
        <v>223</v>
      </c>
      <c r="E79" s="2">
        <v>45931</v>
      </c>
      <c r="F79" s="5" t="s">
        <v>224</v>
      </c>
      <c r="G79" t="s">
        <v>27</v>
      </c>
      <c r="H79" t="s">
        <v>28</v>
      </c>
      <c r="I79" t="s">
        <v>44</v>
      </c>
      <c r="J79" t="s">
        <v>53</v>
      </c>
      <c r="K79">
        <v>19</v>
      </c>
      <c r="L79" s="7">
        <v>112</v>
      </c>
      <c r="M79">
        <v>5</v>
      </c>
      <c r="N79">
        <v>2</v>
      </c>
      <c r="O79">
        <v>17</v>
      </c>
      <c r="P79" t="str">
        <f t="shared" si="2"/>
        <v>October</v>
      </c>
      <c r="Q79" t="str">
        <f t="shared" si="3"/>
        <v>Wednesday</v>
      </c>
      <c r="R79" t="s">
        <v>30</v>
      </c>
    </row>
    <row r="80" spans="1:18">
      <c r="A80">
        <v>2024</v>
      </c>
      <c r="B80" t="s">
        <v>131</v>
      </c>
      <c r="C80" t="s">
        <v>16</v>
      </c>
      <c r="D80" t="s">
        <v>225</v>
      </c>
      <c r="E80" s="2">
        <v>45646</v>
      </c>
      <c r="F80" s="5" t="s">
        <v>226</v>
      </c>
      <c r="G80" t="s">
        <v>35</v>
      </c>
      <c r="H80" t="s">
        <v>36</v>
      </c>
      <c r="I80" t="s">
        <v>44</v>
      </c>
      <c r="J80" t="s">
        <v>53</v>
      </c>
      <c r="K80">
        <v>49</v>
      </c>
      <c r="L80" s="7">
        <v>47</v>
      </c>
      <c r="M80">
        <v>3</v>
      </c>
      <c r="N80">
        <v>4</v>
      </c>
      <c r="O80">
        <v>35</v>
      </c>
      <c r="P80" t="str">
        <f t="shared" si="2"/>
        <v>December</v>
      </c>
      <c r="Q80" t="str">
        <f t="shared" si="3"/>
        <v>Friday</v>
      </c>
      <c r="R80" t="s">
        <v>58</v>
      </c>
    </row>
    <row r="81" spans="1:18">
      <c r="A81">
        <v>2024</v>
      </c>
      <c r="B81" t="s">
        <v>24</v>
      </c>
      <c r="C81" t="s">
        <v>16</v>
      </c>
      <c r="D81" t="s">
        <v>227</v>
      </c>
      <c r="E81" s="2">
        <v>45528</v>
      </c>
      <c r="F81" s="5" t="s">
        <v>228</v>
      </c>
      <c r="G81" t="s">
        <v>57</v>
      </c>
      <c r="H81" t="s">
        <v>36</v>
      </c>
      <c r="I81" t="s">
        <v>44</v>
      </c>
      <c r="J81" t="s">
        <v>22</v>
      </c>
      <c r="K81">
        <v>24</v>
      </c>
      <c r="L81" s="7">
        <v>43</v>
      </c>
      <c r="M81">
        <v>4</v>
      </c>
      <c r="N81">
        <v>6</v>
      </c>
      <c r="O81">
        <v>8</v>
      </c>
      <c r="P81" t="str">
        <f t="shared" si="2"/>
        <v>August</v>
      </c>
      <c r="Q81" t="str">
        <f t="shared" si="3"/>
        <v>Saturday</v>
      </c>
      <c r="R81" t="s">
        <v>45</v>
      </c>
    </row>
    <row r="82" spans="1:18">
      <c r="A82">
        <v>2022</v>
      </c>
      <c r="B82" t="s">
        <v>85</v>
      </c>
      <c r="C82" t="s">
        <v>32</v>
      </c>
      <c r="D82" t="s">
        <v>229</v>
      </c>
      <c r="E82" s="2">
        <v>44731</v>
      </c>
      <c r="F82" s="5" t="s">
        <v>230</v>
      </c>
      <c r="G82" t="s">
        <v>27</v>
      </c>
      <c r="H82" t="s">
        <v>67</v>
      </c>
      <c r="I82" t="s">
        <v>21</v>
      </c>
      <c r="J82" t="s">
        <v>22</v>
      </c>
      <c r="K82">
        <v>49</v>
      </c>
      <c r="L82" s="7">
        <v>40</v>
      </c>
      <c r="M82">
        <v>1</v>
      </c>
      <c r="N82">
        <v>0</v>
      </c>
      <c r="O82">
        <v>36</v>
      </c>
      <c r="P82" t="str">
        <f t="shared" si="2"/>
        <v>June</v>
      </c>
      <c r="Q82" t="str">
        <f t="shared" si="3"/>
        <v>Sunday</v>
      </c>
      <c r="R82" t="s">
        <v>58</v>
      </c>
    </row>
    <row r="83" spans="1:18">
      <c r="A83">
        <v>2024</v>
      </c>
      <c r="B83" t="s">
        <v>93</v>
      </c>
      <c r="C83" t="s">
        <v>32</v>
      </c>
      <c r="D83" t="s">
        <v>231</v>
      </c>
      <c r="E83" s="2">
        <v>45370</v>
      </c>
      <c r="F83" s="5" t="s">
        <v>117</v>
      </c>
      <c r="G83" t="s">
        <v>19</v>
      </c>
      <c r="H83" t="s">
        <v>67</v>
      </c>
      <c r="I83" t="s">
        <v>44</v>
      </c>
      <c r="J83" t="s">
        <v>22</v>
      </c>
      <c r="K83">
        <v>29</v>
      </c>
      <c r="L83" s="7">
        <v>90</v>
      </c>
      <c r="M83">
        <v>3</v>
      </c>
      <c r="N83">
        <v>3</v>
      </c>
      <c r="O83">
        <v>28</v>
      </c>
      <c r="P83" t="str">
        <f t="shared" si="2"/>
        <v>March</v>
      </c>
      <c r="Q83" t="str">
        <f t="shared" si="3"/>
        <v>Tuesday</v>
      </c>
      <c r="R83" t="s">
        <v>37</v>
      </c>
    </row>
    <row r="84" spans="1:18">
      <c r="A84">
        <v>2022</v>
      </c>
      <c r="B84" t="s">
        <v>24</v>
      </c>
      <c r="C84" t="s">
        <v>32</v>
      </c>
      <c r="D84" t="s">
        <v>232</v>
      </c>
      <c r="E84" s="2">
        <v>44604</v>
      </c>
      <c r="F84" s="5" t="s">
        <v>233</v>
      </c>
      <c r="G84" t="s">
        <v>19</v>
      </c>
      <c r="H84" t="s">
        <v>67</v>
      </c>
      <c r="I84" t="s">
        <v>44</v>
      </c>
      <c r="J84" t="s">
        <v>53</v>
      </c>
      <c r="K84">
        <v>46</v>
      </c>
      <c r="L84" s="7">
        <v>68</v>
      </c>
      <c r="M84">
        <v>1</v>
      </c>
      <c r="N84">
        <v>2</v>
      </c>
      <c r="O84">
        <v>8</v>
      </c>
      <c r="P84" t="str">
        <f t="shared" si="2"/>
        <v>February</v>
      </c>
      <c r="Q84" t="str">
        <f t="shared" si="3"/>
        <v>Saturday</v>
      </c>
      <c r="R84" t="s">
        <v>71</v>
      </c>
    </row>
    <row r="85" spans="1:18">
      <c r="A85">
        <v>2025</v>
      </c>
      <c r="B85" t="s">
        <v>88</v>
      </c>
      <c r="C85" t="s">
        <v>32</v>
      </c>
      <c r="D85" t="s">
        <v>234</v>
      </c>
      <c r="E85" s="2">
        <v>45956</v>
      </c>
      <c r="F85" s="5" t="s">
        <v>235</v>
      </c>
      <c r="G85" t="s">
        <v>57</v>
      </c>
      <c r="H85" t="s">
        <v>28</v>
      </c>
      <c r="I85" t="s">
        <v>44</v>
      </c>
      <c r="J85" t="s">
        <v>53</v>
      </c>
      <c r="K85">
        <v>57</v>
      </c>
      <c r="L85" s="7">
        <v>74</v>
      </c>
      <c r="M85">
        <v>5</v>
      </c>
      <c r="N85">
        <v>1</v>
      </c>
      <c r="O85">
        <v>45</v>
      </c>
      <c r="P85" t="str">
        <f t="shared" si="2"/>
        <v>October</v>
      </c>
      <c r="Q85" t="str">
        <f t="shared" si="3"/>
        <v>Sunday</v>
      </c>
      <c r="R85" t="s">
        <v>14</v>
      </c>
    </row>
    <row r="86" spans="1:18">
      <c r="A86">
        <v>2025</v>
      </c>
      <c r="B86" t="s">
        <v>31</v>
      </c>
      <c r="C86" t="s">
        <v>32</v>
      </c>
      <c r="D86" t="s">
        <v>236</v>
      </c>
      <c r="E86" s="2">
        <v>45850</v>
      </c>
      <c r="F86" s="5" t="s">
        <v>237</v>
      </c>
      <c r="G86" t="s">
        <v>49</v>
      </c>
      <c r="H86" t="s">
        <v>28</v>
      </c>
      <c r="I86" t="s">
        <v>21</v>
      </c>
      <c r="J86" t="s">
        <v>22</v>
      </c>
      <c r="K86">
        <v>64</v>
      </c>
      <c r="L86" s="7">
        <v>45</v>
      </c>
      <c r="M86">
        <v>0</v>
      </c>
      <c r="N86">
        <v>4</v>
      </c>
      <c r="O86">
        <v>18</v>
      </c>
      <c r="P86" t="str">
        <f t="shared" si="2"/>
        <v>July</v>
      </c>
      <c r="Q86" t="str">
        <f t="shared" si="3"/>
        <v>Saturday</v>
      </c>
      <c r="R86" t="s">
        <v>45</v>
      </c>
    </row>
    <row r="87" spans="1:18">
      <c r="A87">
        <v>2024</v>
      </c>
      <c r="B87" t="s">
        <v>54</v>
      </c>
      <c r="C87" t="s">
        <v>32</v>
      </c>
      <c r="D87" t="s">
        <v>238</v>
      </c>
      <c r="E87" s="2">
        <v>45441</v>
      </c>
      <c r="F87" s="5" t="s">
        <v>239</v>
      </c>
      <c r="G87" t="s">
        <v>35</v>
      </c>
      <c r="H87" t="s">
        <v>67</v>
      </c>
      <c r="I87" t="s">
        <v>21</v>
      </c>
      <c r="J87" t="s">
        <v>22</v>
      </c>
      <c r="K87">
        <v>19</v>
      </c>
      <c r="L87" s="7">
        <v>91</v>
      </c>
      <c r="M87">
        <v>2</v>
      </c>
      <c r="N87">
        <v>2</v>
      </c>
      <c r="O87">
        <v>17</v>
      </c>
      <c r="P87" t="str">
        <f t="shared" si="2"/>
        <v>May</v>
      </c>
      <c r="Q87" t="str">
        <f t="shared" si="3"/>
        <v>Wednesday</v>
      </c>
      <c r="R87" t="s">
        <v>105</v>
      </c>
    </row>
    <row r="88" spans="1:18">
      <c r="A88">
        <v>2024</v>
      </c>
      <c r="B88" t="s">
        <v>77</v>
      </c>
      <c r="C88" t="s">
        <v>16</v>
      </c>
      <c r="D88" t="s">
        <v>240</v>
      </c>
      <c r="E88" s="2">
        <v>45455</v>
      </c>
      <c r="F88" s="5" t="s">
        <v>241</v>
      </c>
      <c r="G88" t="s">
        <v>27</v>
      </c>
      <c r="H88" t="s">
        <v>28</v>
      </c>
      <c r="I88" t="s">
        <v>21</v>
      </c>
      <c r="J88" t="s">
        <v>22</v>
      </c>
      <c r="K88">
        <v>64</v>
      </c>
      <c r="L88" s="7">
        <v>92</v>
      </c>
      <c r="M88">
        <v>3</v>
      </c>
      <c r="N88">
        <v>0</v>
      </c>
      <c r="O88">
        <v>40</v>
      </c>
      <c r="P88" t="str">
        <f t="shared" si="2"/>
        <v>June</v>
      </c>
      <c r="Q88" t="str">
        <f t="shared" si="3"/>
        <v>Wednesday</v>
      </c>
      <c r="R88" t="s">
        <v>37</v>
      </c>
    </row>
    <row r="89" spans="1:18">
      <c r="A89">
        <v>2023</v>
      </c>
      <c r="B89" t="s">
        <v>82</v>
      </c>
      <c r="C89" t="s">
        <v>16</v>
      </c>
      <c r="D89" t="s">
        <v>242</v>
      </c>
      <c r="E89" s="2">
        <v>45053</v>
      </c>
      <c r="F89" s="5" t="s">
        <v>243</v>
      </c>
      <c r="G89" t="s">
        <v>49</v>
      </c>
      <c r="H89" t="s">
        <v>67</v>
      </c>
      <c r="I89" t="s">
        <v>29</v>
      </c>
      <c r="J89" t="s">
        <v>53</v>
      </c>
      <c r="K89">
        <v>25</v>
      </c>
      <c r="L89" s="7">
        <v>118</v>
      </c>
      <c r="M89">
        <v>0</v>
      </c>
      <c r="N89">
        <v>3</v>
      </c>
      <c r="O89">
        <v>38</v>
      </c>
      <c r="P89" t="str">
        <f t="shared" si="2"/>
        <v>May</v>
      </c>
      <c r="Q89" t="str">
        <f t="shared" si="3"/>
        <v>Sunday</v>
      </c>
      <c r="R89" t="s">
        <v>23</v>
      </c>
    </row>
    <row r="90" spans="1:18">
      <c r="A90">
        <v>2024</v>
      </c>
      <c r="B90" t="s">
        <v>144</v>
      </c>
      <c r="C90" t="s">
        <v>16</v>
      </c>
      <c r="D90" t="s">
        <v>244</v>
      </c>
      <c r="E90" s="2">
        <v>45313</v>
      </c>
      <c r="F90" s="5" t="s">
        <v>245</v>
      </c>
      <c r="G90" t="s">
        <v>35</v>
      </c>
      <c r="H90" t="s">
        <v>36</v>
      </c>
      <c r="I90" t="s">
        <v>29</v>
      </c>
      <c r="J90" t="s">
        <v>53</v>
      </c>
      <c r="K90">
        <v>27</v>
      </c>
      <c r="L90" s="7">
        <v>108</v>
      </c>
      <c r="M90">
        <v>4</v>
      </c>
      <c r="N90">
        <v>1</v>
      </c>
      <c r="O90">
        <v>42</v>
      </c>
      <c r="P90" t="str">
        <f t="shared" si="2"/>
        <v>January</v>
      </c>
      <c r="Q90" t="str">
        <f t="shared" si="3"/>
        <v>Monday</v>
      </c>
      <c r="R90" t="s">
        <v>37</v>
      </c>
    </row>
    <row r="91" spans="1:18">
      <c r="A91">
        <v>2024</v>
      </c>
      <c r="B91" t="s">
        <v>93</v>
      </c>
      <c r="C91" t="s">
        <v>16</v>
      </c>
      <c r="D91" t="s">
        <v>246</v>
      </c>
      <c r="E91" s="2">
        <v>45385</v>
      </c>
      <c r="F91" s="5" t="s">
        <v>247</v>
      </c>
      <c r="G91" t="s">
        <v>57</v>
      </c>
      <c r="H91" t="s">
        <v>28</v>
      </c>
      <c r="I91" t="s">
        <v>29</v>
      </c>
      <c r="J91" t="s">
        <v>53</v>
      </c>
      <c r="K91">
        <v>32</v>
      </c>
      <c r="L91" s="7">
        <v>91</v>
      </c>
      <c r="M91">
        <v>5</v>
      </c>
      <c r="N91">
        <v>6</v>
      </c>
      <c r="O91">
        <v>18</v>
      </c>
      <c r="P91" t="str">
        <f t="shared" si="2"/>
        <v>April</v>
      </c>
      <c r="Q91" t="str">
        <f t="shared" si="3"/>
        <v>Wednesday</v>
      </c>
      <c r="R91" t="s">
        <v>37</v>
      </c>
    </row>
    <row r="92" spans="1:18">
      <c r="A92">
        <v>2024</v>
      </c>
      <c r="B92" t="s">
        <v>72</v>
      </c>
      <c r="C92" t="s">
        <v>16</v>
      </c>
      <c r="D92" t="s">
        <v>248</v>
      </c>
      <c r="E92" s="2">
        <v>45568</v>
      </c>
      <c r="F92" s="5" t="s">
        <v>249</v>
      </c>
      <c r="G92" t="s">
        <v>49</v>
      </c>
      <c r="H92" t="s">
        <v>20</v>
      </c>
      <c r="I92" t="s">
        <v>44</v>
      </c>
      <c r="J92" t="s">
        <v>53</v>
      </c>
      <c r="K92">
        <v>51</v>
      </c>
      <c r="L92" s="7">
        <v>43</v>
      </c>
      <c r="M92">
        <v>4</v>
      </c>
      <c r="N92">
        <v>3</v>
      </c>
      <c r="O92">
        <v>34</v>
      </c>
      <c r="P92" t="str">
        <f t="shared" si="2"/>
        <v>October</v>
      </c>
      <c r="Q92" t="str">
        <f t="shared" si="3"/>
        <v>Thursday</v>
      </c>
      <c r="R92" t="s">
        <v>105</v>
      </c>
    </row>
    <row r="93" spans="1:18">
      <c r="A93">
        <v>2022</v>
      </c>
      <c r="B93" t="s">
        <v>131</v>
      </c>
      <c r="C93" t="s">
        <v>16</v>
      </c>
      <c r="D93" t="s">
        <v>250</v>
      </c>
      <c r="E93" s="2">
        <v>44766</v>
      </c>
      <c r="F93" s="5" t="s">
        <v>251</v>
      </c>
      <c r="G93" t="s">
        <v>27</v>
      </c>
      <c r="H93" t="s">
        <v>67</v>
      </c>
      <c r="I93" t="s">
        <v>29</v>
      </c>
      <c r="J93" t="s">
        <v>22</v>
      </c>
      <c r="K93">
        <v>20</v>
      </c>
      <c r="L93" s="7">
        <v>59</v>
      </c>
      <c r="M93">
        <v>0</v>
      </c>
      <c r="N93">
        <v>4</v>
      </c>
      <c r="O93">
        <v>16</v>
      </c>
      <c r="P93" t="str">
        <f t="shared" si="2"/>
        <v>July</v>
      </c>
      <c r="Q93" t="str">
        <f t="shared" si="3"/>
        <v>Sunday</v>
      </c>
      <c r="R93" t="s">
        <v>14</v>
      </c>
    </row>
    <row r="94" spans="1:18">
      <c r="A94">
        <v>2022</v>
      </c>
      <c r="B94" t="s">
        <v>131</v>
      </c>
      <c r="C94" t="s">
        <v>32</v>
      </c>
      <c r="D94" t="s">
        <v>252</v>
      </c>
      <c r="E94" s="2">
        <v>44916</v>
      </c>
      <c r="F94" s="5" t="s">
        <v>253</v>
      </c>
      <c r="G94" t="s">
        <v>19</v>
      </c>
      <c r="H94" t="s">
        <v>67</v>
      </c>
      <c r="I94" t="s">
        <v>21</v>
      </c>
      <c r="J94" t="s">
        <v>22</v>
      </c>
      <c r="K94">
        <v>41</v>
      </c>
      <c r="L94" s="7">
        <v>42</v>
      </c>
      <c r="M94">
        <v>4</v>
      </c>
      <c r="N94">
        <v>6</v>
      </c>
      <c r="O94">
        <v>28</v>
      </c>
      <c r="P94" t="str">
        <f t="shared" si="2"/>
        <v>December</v>
      </c>
      <c r="Q94" t="str">
        <f t="shared" si="3"/>
        <v>Wednesday</v>
      </c>
      <c r="R94" t="s">
        <v>71</v>
      </c>
    </row>
    <row r="95" spans="1:18">
      <c r="A95">
        <v>2024</v>
      </c>
      <c r="B95" t="s">
        <v>15</v>
      </c>
      <c r="C95" t="s">
        <v>16</v>
      </c>
      <c r="D95" t="s">
        <v>254</v>
      </c>
      <c r="E95" s="2">
        <v>45327</v>
      </c>
      <c r="F95" s="5" t="s">
        <v>255</v>
      </c>
      <c r="G95" t="s">
        <v>19</v>
      </c>
      <c r="H95" t="s">
        <v>20</v>
      </c>
      <c r="I95" t="s">
        <v>44</v>
      </c>
      <c r="J95" t="s">
        <v>22</v>
      </c>
      <c r="K95">
        <v>61</v>
      </c>
      <c r="L95" s="7">
        <v>50</v>
      </c>
      <c r="M95">
        <v>4</v>
      </c>
      <c r="N95">
        <v>4</v>
      </c>
      <c r="O95">
        <v>19</v>
      </c>
      <c r="P95" t="str">
        <f t="shared" si="2"/>
        <v>February</v>
      </c>
      <c r="Q95" t="str">
        <f t="shared" si="3"/>
        <v>Monday</v>
      </c>
      <c r="R95" t="s">
        <v>68</v>
      </c>
    </row>
    <row r="96" spans="1:18">
      <c r="A96">
        <v>2025</v>
      </c>
      <c r="B96" t="s">
        <v>100</v>
      </c>
      <c r="C96" t="s">
        <v>32</v>
      </c>
      <c r="D96" t="s">
        <v>256</v>
      </c>
      <c r="E96" s="2">
        <v>46006</v>
      </c>
      <c r="F96" s="5" t="s">
        <v>257</v>
      </c>
      <c r="G96" t="s">
        <v>49</v>
      </c>
      <c r="H96" t="s">
        <v>20</v>
      </c>
      <c r="I96" t="s">
        <v>21</v>
      </c>
      <c r="J96" t="s">
        <v>53</v>
      </c>
      <c r="K96">
        <v>40</v>
      </c>
      <c r="L96" s="7">
        <v>99</v>
      </c>
      <c r="M96">
        <v>1</v>
      </c>
      <c r="N96">
        <v>5</v>
      </c>
      <c r="O96">
        <v>10</v>
      </c>
      <c r="P96" t="str">
        <f t="shared" si="2"/>
        <v>December</v>
      </c>
      <c r="Q96" t="str">
        <f t="shared" si="3"/>
        <v>Monday</v>
      </c>
      <c r="R96" t="s">
        <v>45</v>
      </c>
    </row>
    <row r="97" spans="1:18">
      <c r="A97">
        <v>2022</v>
      </c>
      <c r="B97" t="s">
        <v>172</v>
      </c>
      <c r="C97" t="s">
        <v>16</v>
      </c>
      <c r="D97" t="s">
        <v>258</v>
      </c>
      <c r="E97" s="2">
        <v>44813</v>
      </c>
      <c r="F97" s="5" t="s">
        <v>259</v>
      </c>
      <c r="G97" t="s">
        <v>19</v>
      </c>
      <c r="H97" t="s">
        <v>20</v>
      </c>
      <c r="I97" t="s">
        <v>44</v>
      </c>
      <c r="J97" t="s">
        <v>53</v>
      </c>
      <c r="K97">
        <v>61</v>
      </c>
      <c r="L97" s="7">
        <v>76</v>
      </c>
      <c r="M97">
        <v>1</v>
      </c>
      <c r="N97">
        <v>0</v>
      </c>
      <c r="O97">
        <v>12</v>
      </c>
      <c r="P97" t="str">
        <f t="shared" si="2"/>
        <v>September</v>
      </c>
      <c r="Q97" t="str">
        <f t="shared" si="3"/>
        <v>Friday</v>
      </c>
      <c r="R97" t="s">
        <v>37</v>
      </c>
    </row>
    <row r="98" spans="1:18">
      <c r="A98">
        <v>2023</v>
      </c>
      <c r="B98" t="s">
        <v>93</v>
      </c>
      <c r="C98" t="s">
        <v>32</v>
      </c>
      <c r="D98" t="s">
        <v>260</v>
      </c>
      <c r="E98" s="2">
        <v>44967</v>
      </c>
      <c r="F98" s="5" t="s">
        <v>261</v>
      </c>
      <c r="G98" t="s">
        <v>49</v>
      </c>
      <c r="H98" t="s">
        <v>67</v>
      </c>
      <c r="I98" t="s">
        <v>44</v>
      </c>
      <c r="J98" t="s">
        <v>53</v>
      </c>
      <c r="K98">
        <v>18</v>
      </c>
      <c r="L98" s="7">
        <v>113</v>
      </c>
      <c r="M98">
        <v>2</v>
      </c>
      <c r="N98">
        <v>5</v>
      </c>
      <c r="O98">
        <v>30</v>
      </c>
      <c r="P98" t="str">
        <f t="shared" si="2"/>
        <v>February</v>
      </c>
      <c r="Q98" t="str">
        <f t="shared" si="3"/>
        <v>Friday</v>
      </c>
      <c r="R98" t="s">
        <v>71</v>
      </c>
    </row>
    <row r="99" spans="1:18">
      <c r="A99">
        <v>2023</v>
      </c>
      <c r="B99" t="s">
        <v>100</v>
      </c>
      <c r="C99" t="s">
        <v>16</v>
      </c>
      <c r="D99" t="s">
        <v>262</v>
      </c>
      <c r="E99" s="2">
        <v>44938</v>
      </c>
      <c r="F99" s="5" t="s">
        <v>263</v>
      </c>
      <c r="G99" t="s">
        <v>49</v>
      </c>
      <c r="H99" t="s">
        <v>36</v>
      </c>
      <c r="I99" t="s">
        <v>44</v>
      </c>
      <c r="J99" t="s">
        <v>53</v>
      </c>
      <c r="K99">
        <v>35</v>
      </c>
      <c r="L99" s="7">
        <v>88</v>
      </c>
      <c r="M99">
        <v>2</v>
      </c>
      <c r="N99">
        <v>6</v>
      </c>
      <c r="O99">
        <v>33</v>
      </c>
      <c r="P99" t="str">
        <f t="shared" si="2"/>
        <v>January</v>
      </c>
      <c r="Q99" t="str">
        <f t="shared" si="3"/>
        <v>Thursday</v>
      </c>
      <c r="R99" t="s">
        <v>124</v>
      </c>
    </row>
    <row r="100" spans="1:18">
      <c r="A100">
        <v>2024</v>
      </c>
      <c r="B100" t="s">
        <v>41</v>
      </c>
      <c r="C100" t="s">
        <v>16</v>
      </c>
      <c r="D100" t="s">
        <v>264</v>
      </c>
      <c r="E100" s="2">
        <v>45590</v>
      </c>
      <c r="F100" s="5" t="s">
        <v>171</v>
      </c>
      <c r="G100" t="s">
        <v>49</v>
      </c>
      <c r="H100" t="s">
        <v>36</v>
      </c>
      <c r="I100" t="s">
        <v>44</v>
      </c>
      <c r="J100" t="s">
        <v>53</v>
      </c>
      <c r="K100">
        <v>58</v>
      </c>
      <c r="L100" s="7">
        <v>107</v>
      </c>
      <c r="M100">
        <v>3</v>
      </c>
      <c r="N100">
        <v>6</v>
      </c>
      <c r="O100">
        <v>32</v>
      </c>
      <c r="P100" t="str">
        <f t="shared" si="2"/>
        <v>October</v>
      </c>
      <c r="Q100" t="str">
        <f t="shared" si="3"/>
        <v>Friday</v>
      </c>
      <c r="R100" t="s">
        <v>124</v>
      </c>
    </row>
    <row r="101" spans="1:18">
      <c r="A101">
        <v>2025</v>
      </c>
      <c r="B101" t="s">
        <v>141</v>
      </c>
      <c r="C101" t="s">
        <v>16</v>
      </c>
      <c r="D101" t="s">
        <v>265</v>
      </c>
      <c r="E101" s="2">
        <v>45766</v>
      </c>
      <c r="F101" s="5" t="s">
        <v>266</v>
      </c>
      <c r="G101" t="s">
        <v>27</v>
      </c>
      <c r="H101" t="s">
        <v>36</v>
      </c>
      <c r="I101" t="s">
        <v>44</v>
      </c>
      <c r="J101" t="s">
        <v>53</v>
      </c>
      <c r="K101">
        <v>62</v>
      </c>
      <c r="L101" s="7">
        <v>55</v>
      </c>
      <c r="M101">
        <v>5</v>
      </c>
      <c r="N101">
        <v>6</v>
      </c>
      <c r="O101">
        <v>36</v>
      </c>
      <c r="P101" t="str">
        <f t="shared" si="2"/>
        <v>April</v>
      </c>
      <c r="Q101" t="str">
        <f t="shared" si="3"/>
        <v>Saturday</v>
      </c>
      <c r="R101" t="s">
        <v>71</v>
      </c>
    </row>
    <row r="102" spans="1:18">
      <c r="A102">
        <v>2024</v>
      </c>
      <c r="B102" t="s">
        <v>113</v>
      </c>
      <c r="C102" t="s">
        <v>16</v>
      </c>
      <c r="D102" t="s">
        <v>267</v>
      </c>
      <c r="E102" s="2">
        <v>45440</v>
      </c>
      <c r="F102" s="5" t="s">
        <v>268</v>
      </c>
      <c r="G102" t="s">
        <v>27</v>
      </c>
      <c r="H102" t="s">
        <v>67</v>
      </c>
      <c r="I102" t="s">
        <v>21</v>
      </c>
      <c r="J102" t="s">
        <v>22</v>
      </c>
      <c r="K102">
        <v>61</v>
      </c>
      <c r="L102" s="7">
        <v>95</v>
      </c>
      <c r="M102">
        <v>4</v>
      </c>
      <c r="N102">
        <v>5</v>
      </c>
      <c r="O102">
        <v>35</v>
      </c>
      <c r="P102" t="str">
        <f t="shared" si="2"/>
        <v>May</v>
      </c>
      <c r="Q102" t="str">
        <f t="shared" si="3"/>
        <v>Tuesday</v>
      </c>
      <c r="R102" t="s">
        <v>68</v>
      </c>
    </row>
    <row r="103" spans="1:18">
      <c r="A103">
        <v>2023</v>
      </c>
      <c r="B103" t="s">
        <v>46</v>
      </c>
      <c r="C103" t="s">
        <v>16</v>
      </c>
      <c r="D103" t="s">
        <v>269</v>
      </c>
      <c r="E103" s="2">
        <v>44965</v>
      </c>
      <c r="F103" s="5" t="s">
        <v>270</v>
      </c>
      <c r="G103" t="s">
        <v>49</v>
      </c>
      <c r="H103" t="s">
        <v>67</v>
      </c>
      <c r="I103" t="s">
        <v>29</v>
      </c>
      <c r="J103" t="s">
        <v>53</v>
      </c>
      <c r="K103">
        <v>37</v>
      </c>
      <c r="L103" s="7">
        <v>71</v>
      </c>
      <c r="M103">
        <v>4</v>
      </c>
      <c r="N103">
        <v>5</v>
      </c>
      <c r="O103">
        <v>14</v>
      </c>
      <c r="P103" t="str">
        <f t="shared" si="2"/>
        <v>February</v>
      </c>
      <c r="Q103" t="str">
        <f t="shared" si="3"/>
        <v>Wednesday</v>
      </c>
      <c r="R103" t="s">
        <v>71</v>
      </c>
    </row>
    <row r="104" spans="1:18">
      <c r="A104">
        <v>2025</v>
      </c>
      <c r="B104" t="s">
        <v>106</v>
      </c>
      <c r="C104" t="s">
        <v>32</v>
      </c>
      <c r="D104" t="s">
        <v>271</v>
      </c>
      <c r="E104" s="2">
        <v>46018</v>
      </c>
      <c r="F104" s="5" t="s">
        <v>272</v>
      </c>
      <c r="G104" t="s">
        <v>49</v>
      </c>
      <c r="H104" t="s">
        <v>20</v>
      </c>
      <c r="I104" t="s">
        <v>21</v>
      </c>
      <c r="J104" t="s">
        <v>53</v>
      </c>
      <c r="K104">
        <v>21</v>
      </c>
      <c r="L104" s="7">
        <v>95</v>
      </c>
      <c r="M104">
        <v>2</v>
      </c>
      <c r="N104">
        <v>1</v>
      </c>
      <c r="O104">
        <v>21</v>
      </c>
      <c r="P104" t="str">
        <f t="shared" si="2"/>
        <v>December</v>
      </c>
      <c r="Q104" t="str">
        <f t="shared" si="3"/>
        <v>Saturday</v>
      </c>
      <c r="R104" t="s">
        <v>58</v>
      </c>
    </row>
    <row r="105" spans="1:18">
      <c r="A105">
        <v>2025</v>
      </c>
      <c r="B105" t="s">
        <v>15</v>
      </c>
      <c r="C105" t="s">
        <v>16</v>
      </c>
      <c r="D105" t="s">
        <v>273</v>
      </c>
      <c r="E105" s="2">
        <v>45726</v>
      </c>
      <c r="F105" s="5" t="s">
        <v>274</v>
      </c>
      <c r="G105" t="s">
        <v>35</v>
      </c>
      <c r="H105" t="s">
        <v>28</v>
      </c>
      <c r="I105" t="s">
        <v>21</v>
      </c>
      <c r="J105" t="s">
        <v>53</v>
      </c>
      <c r="K105">
        <v>42</v>
      </c>
      <c r="L105" s="7">
        <v>82</v>
      </c>
      <c r="M105">
        <v>1</v>
      </c>
      <c r="N105">
        <v>4</v>
      </c>
      <c r="O105">
        <v>17</v>
      </c>
      <c r="P105" t="str">
        <f t="shared" si="2"/>
        <v>March</v>
      </c>
      <c r="Q105" t="str">
        <f t="shared" si="3"/>
        <v>Monday</v>
      </c>
      <c r="R105" t="s">
        <v>124</v>
      </c>
    </row>
    <row r="106" spans="1:18">
      <c r="A106">
        <v>2022</v>
      </c>
      <c r="B106" t="s">
        <v>41</v>
      </c>
      <c r="C106" t="s">
        <v>16</v>
      </c>
      <c r="D106" t="s">
        <v>275</v>
      </c>
      <c r="E106" s="2">
        <v>44852</v>
      </c>
      <c r="F106" s="5" t="s">
        <v>276</v>
      </c>
      <c r="G106" t="s">
        <v>19</v>
      </c>
      <c r="H106" t="s">
        <v>28</v>
      </c>
      <c r="I106" t="s">
        <v>21</v>
      </c>
      <c r="J106" t="s">
        <v>22</v>
      </c>
      <c r="K106">
        <v>62</v>
      </c>
      <c r="L106" s="7">
        <v>107</v>
      </c>
      <c r="M106">
        <v>0</v>
      </c>
      <c r="N106">
        <v>6</v>
      </c>
      <c r="O106">
        <v>30</v>
      </c>
      <c r="P106" t="str">
        <f t="shared" si="2"/>
        <v>October</v>
      </c>
      <c r="Q106" t="str">
        <f t="shared" si="3"/>
        <v>Tuesday</v>
      </c>
      <c r="R106" t="s">
        <v>23</v>
      </c>
    </row>
    <row r="107" spans="1:18">
      <c r="A107">
        <v>2024</v>
      </c>
      <c r="B107" t="s">
        <v>277</v>
      </c>
      <c r="C107" t="s">
        <v>16</v>
      </c>
      <c r="D107" t="s">
        <v>278</v>
      </c>
      <c r="E107" s="2">
        <v>45396</v>
      </c>
      <c r="F107" s="5" t="s">
        <v>279</v>
      </c>
      <c r="G107" t="s">
        <v>49</v>
      </c>
      <c r="H107" t="s">
        <v>28</v>
      </c>
      <c r="I107" t="s">
        <v>29</v>
      </c>
      <c r="J107" t="s">
        <v>22</v>
      </c>
      <c r="K107">
        <v>36</v>
      </c>
      <c r="L107" s="7">
        <v>106</v>
      </c>
      <c r="M107">
        <v>2</v>
      </c>
      <c r="N107">
        <v>1</v>
      </c>
      <c r="O107">
        <v>37</v>
      </c>
      <c r="P107" t="str">
        <f t="shared" si="2"/>
        <v>April</v>
      </c>
      <c r="Q107" t="str">
        <f t="shared" si="3"/>
        <v>Sunday</v>
      </c>
      <c r="R107" t="s">
        <v>23</v>
      </c>
    </row>
    <row r="108" spans="1:18">
      <c r="A108">
        <v>2025</v>
      </c>
      <c r="B108" t="s">
        <v>59</v>
      </c>
      <c r="C108" t="s">
        <v>32</v>
      </c>
      <c r="D108" t="s">
        <v>280</v>
      </c>
      <c r="E108" s="2">
        <v>45862</v>
      </c>
      <c r="F108" s="5" t="s">
        <v>281</v>
      </c>
      <c r="G108" t="s">
        <v>49</v>
      </c>
      <c r="H108" t="s">
        <v>36</v>
      </c>
      <c r="I108" t="s">
        <v>21</v>
      </c>
      <c r="J108" t="s">
        <v>22</v>
      </c>
      <c r="K108">
        <v>31</v>
      </c>
      <c r="L108" s="7">
        <v>86</v>
      </c>
      <c r="M108">
        <v>5</v>
      </c>
      <c r="N108">
        <v>2</v>
      </c>
      <c r="O108">
        <v>37</v>
      </c>
      <c r="P108" t="str">
        <f t="shared" si="2"/>
        <v>July</v>
      </c>
      <c r="Q108" t="str">
        <f t="shared" si="3"/>
        <v>Thursday</v>
      </c>
      <c r="R108" t="s">
        <v>14</v>
      </c>
    </row>
    <row r="109" spans="1:18">
      <c r="A109">
        <v>2025</v>
      </c>
      <c r="B109" t="s">
        <v>208</v>
      </c>
      <c r="C109" t="s">
        <v>32</v>
      </c>
      <c r="D109" t="s">
        <v>282</v>
      </c>
      <c r="E109" s="2">
        <v>45743</v>
      </c>
      <c r="F109" s="5" t="s">
        <v>283</v>
      </c>
      <c r="G109" t="s">
        <v>49</v>
      </c>
      <c r="H109" t="s">
        <v>28</v>
      </c>
      <c r="I109" t="s">
        <v>44</v>
      </c>
      <c r="J109" t="s">
        <v>22</v>
      </c>
      <c r="K109">
        <v>39</v>
      </c>
      <c r="L109" s="7">
        <v>91</v>
      </c>
      <c r="M109">
        <v>0</v>
      </c>
      <c r="N109">
        <v>6</v>
      </c>
      <c r="O109">
        <v>29</v>
      </c>
      <c r="P109" t="str">
        <f t="shared" si="2"/>
        <v>March</v>
      </c>
      <c r="Q109" t="str">
        <f t="shared" si="3"/>
        <v>Thursday</v>
      </c>
      <c r="R109" t="s">
        <v>23</v>
      </c>
    </row>
    <row r="110" spans="1:18">
      <c r="A110">
        <v>2024</v>
      </c>
      <c r="B110" t="s">
        <v>136</v>
      </c>
      <c r="C110" t="s">
        <v>32</v>
      </c>
      <c r="D110" t="s">
        <v>284</v>
      </c>
      <c r="E110" s="2">
        <v>45500</v>
      </c>
      <c r="F110" s="5" t="s">
        <v>285</v>
      </c>
      <c r="G110" t="s">
        <v>49</v>
      </c>
      <c r="H110" t="s">
        <v>67</v>
      </c>
      <c r="I110" t="s">
        <v>29</v>
      </c>
      <c r="J110" t="s">
        <v>22</v>
      </c>
      <c r="K110">
        <v>49</v>
      </c>
      <c r="L110" s="7">
        <v>40</v>
      </c>
      <c r="M110">
        <v>3</v>
      </c>
      <c r="N110">
        <v>0</v>
      </c>
      <c r="O110">
        <v>15</v>
      </c>
      <c r="P110" t="str">
        <f t="shared" si="2"/>
        <v>July</v>
      </c>
      <c r="Q110" t="str">
        <f t="shared" si="3"/>
        <v>Saturday</v>
      </c>
      <c r="R110" t="s">
        <v>105</v>
      </c>
    </row>
    <row r="111" spans="1:18">
      <c r="A111">
        <v>2023</v>
      </c>
      <c r="B111" t="s">
        <v>72</v>
      </c>
      <c r="C111" t="s">
        <v>16</v>
      </c>
      <c r="D111" t="s">
        <v>286</v>
      </c>
      <c r="E111" s="2">
        <v>45101</v>
      </c>
      <c r="F111" s="5" t="s">
        <v>81</v>
      </c>
      <c r="G111" t="s">
        <v>27</v>
      </c>
      <c r="H111" t="s">
        <v>36</v>
      </c>
      <c r="I111" t="s">
        <v>44</v>
      </c>
      <c r="J111" t="s">
        <v>22</v>
      </c>
      <c r="K111">
        <v>53</v>
      </c>
      <c r="L111" s="7">
        <v>75</v>
      </c>
      <c r="M111">
        <v>2</v>
      </c>
      <c r="N111">
        <v>5</v>
      </c>
      <c r="O111">
        <v>22</v>
      </c>
      <c r="P111" t="str">
        <f t="shared" si="2"/>
        <v>June</v>
      </c>
      <c r="Q111" t="str">
        <f t="shared" si="3"/>
        <v>Saturday</v>
      </c>
      <c r="R111" t="s">
        <v>71</v>
      </c>
    </row>
    <row r="112" spans="1:18">
      <c r="A112">
        <v>2022</v>
      </c>
      <c r="B112" t="s">
        <v>31</v>
      </c>
      <c r="C112" t="s">
        <v>16</v>
      </c>
      <c r="D112" t="s">
        <v>287</v>
      </c>
      <c r="E112" s="2">
        <v>44792</v>
      </c>
      <c r="F112" s="5" t="s">
        <v>288</v>
      </c>
      <c r="G112" t="s">
        <v>19</v>
      </c>
      <c r="H112" t="s">
        <v>36</v>
      </c>
      <c r="I112" t="s">
        <v>21</v>
      </c>
      <c r="J112" t="s">
        <v>22</v>
      </c>
      <c r="K112">
        <v>19</v>
      </c>
      <c r="L112" s="7">
        <v>47</v>
      </c>
      <c r="M112">
        <v>3</v>
      </c>
      <c r="N112">
        <v>3</v>
      </c>
      <c r="O112">
        <v>26</v>
      </c>
      <c r="P112" t="str">
        <f t="shared" si="2"/>
        <v>August</v>
      </c>
      <c r="Q112" t="str">
        <f t="shared" si="3"/>
        <v>Friday</v>
      </c>
      <c r="R112" t="s">
        <v>14</v>
      </c>
    </row>
    <row r="113" spans="1:18">
      <c r="A113">
        <v>2022</v>
      </c>
      <c r="B113" t="s">
        <v>59</v>
      </c>
      <c r="C113" t="s">
        <v>16</v>
      </c>
      <c r="D113" t="s">
        <v>289</v>
      </c>
      <c r="E113" s="2">
        <v>44562</v>
      </c>
      <c r="F113" s="5" t="s">
        <v>290</v>
      </c>
      <c r="G113" t="s">
        <v>19</v>
      </c>
      <c r="H113" t="s">
        <v>20</v>
      </c>
      <c r="I113" t="s">
        <v>29</v>
      </c>
      <c r="J113" t="s">
        <v>53</v>
      </c>
      <c r="K113">
        <v>22</v>
      </c>
      <c r="L113" s="7">
        <v>72</v>
      </c>
      <c r="M113">
        <v>5</v>
      </c>
      <c r="N113">
        <v>1</v>
      </c>
      <c r="O113">
        <v>23</v>
      </c>
      <c r="P113" t="str">
        <f t="shared" si="2"/>
        <v>January</v>
      </c>
      <c r="Q113" t="str">
        <f t="shared" si="3"/>
        <v>Saturday</v>
      </c>
      <c r="R113" t="s">
        <v>68</v>
      </c>
    </row>
    <row r="114" spans="1:18">
      <c r="A114">
        <v>2026</v>
      </c>
      <c r="B114" t="s">
        <v>147</v>
      </c>
      <c r="C114" t="s">
        <v>16</v>
      </c>
      <c r="D114" t="s">
        <v>291</v>
      </c>
      <c r="E114" s="2">
        <v>46038</v>
      </c>
      <c r="F114" s="5" t="s">
        <v>292</v>
      </c>
      <c r="G114" t="s">
        <v>19</v>
      </c>
      <c r="H114" t="s">
        <v>28</v>
      </c>
      <c r="I114" t="s">
        <v>44</v>
      </c>
      <c r="J114" t="s">
        <v>53</v>
      </c>
      <c r="K114">
        <v>65</v>
      </c>
      <c r="L114" s="7">
        <v>113</v>
      </c>
      <c r="M114">
        <v>3</v>
      </c>
      <c r="N114">
        <v>4</v>
      </c>
      <c r="O114">
        <v>16</v>
      </c>
      <c r="P114" t="str">
        <f t="shared" si="2"/>
        <v>January</v>
      </c>
      <c r="Q114" t="str">
        <f t="shared" si="3"/>
        <v>Friday</v>
      </c>
      <c r="R114" t="s">
        <v>45</v>
      </c>
    </row>
    <row r="115" spans="1:18">
      <c r="A115">
        <v>2024</v>
      </c>
      <c r="B115" t="s">
        <v>144</v>
      </c>
      <c r="C115" t="s">
        <v>32</v>
      </c>
      <c r="D115" t="s">
        <v>293</v>
      </c>
      <c r="E115" s="2">
        <v>45471</v>
      </c>
      <c r="F115" s="5" t="s">
        <v>294</v>
      </c>
      <c r="G115" t="s">
        <v>57</v>
      </c>
      <c r="H115" t="s">
        <v>36</v>
      </c>
      <c r="I115" t="s">
        <v>44</v>
      </c>
      <c r="J115" t="s">
        <v>53</v>
      </c>
      <c r="K115">
        <v>52</v>
      </c>
      <c r="L115" s="7">
        <v>43</v>
      </c>
      <c r="M115">
        <v>4</v>
      </c>
      <c r="N115">
        <v>2</v>
      </c>
      <c r="O115">
        <v>31</v>
      </c>
      <c r="P115" t="str">
        <f t="shared" si="2"/>
        <v>June</v>
      </c>
      <c r="Q115" t="str">
        <f t="shared" si="3"/>
        <v>Friday</v>
      </c>
      <c r="R115" t="s">
        <v>14</v>
      </c>
    </row>
    <row r="116" spans="1:18">
      <c r="A116">
        <v>2024</v>
      </c>
      <c r="B116" t="s">
        <v>159</v>
      </c>
      <c r="C116" t="s">
        <v>32</v>
      </c>
      <c r="D116" t="s">
        <v>295</v>
      </c>
      <c r="E116" s="2">
        <v>45308</v>
      </c>
      <c r="F116" s="5" t="s">
        <v>296</v>
      </c>
      <c r="G116" t="s">
        <v>49</v>
      </c>
      <c r="H116" t="s">
        <v>67</v>
      </c>
      <c r="I116" t="s">
        <v>44</v>
      </c>
      <c r="J116" t="s">
        <v>53</v>
      </c>
      <c r="K116">
        <v>57</v>
      </c>
      <c r="L116" s="7">
        <v>86</v>
      </c>
      <c r="M116">
        <v>3</v>
      </c>
      <c r="N116">
        <v>0</v>
      </c>
      <c r="O116">
        <v>28</v>
      </c>
      <c r="P116" t="str">
        <f t="shared" si="2"/>
        <v>January</v>
      </c>
      <c r="Q116" t="str">
        <f t="shared" si="3"/>
        <v>Wednesday</v>
      </c>
      <c r="R116" t="s">
        <v>71</v>
      </c>
    </row>
    <row r="117" spans="1:18">
      <c r="A117">
        <v>2024</v>
      </c>
      <c r="B117" t="s">
        <v>31</v>
      </c>
      <c r="C117" t="s">
        <v>32</v>
      </c>
      <c r="D117" t="s">
        <v>297</v>
      </c>
      <c r="E117" s="2">
        <v>45382</v>
      </c>
      <c r="F117" s="5" t="s">
        <v>298</v>
      </c>
      <c r="G117" t="s">
        <v>35</v>
      </c>
      <c r="H117" t="s">
        <v>67</v>
      </c>
      <c r="I117" t="s">
        <v>44</v>
      </c>
      <c r="J117" t="s">
        <v>53</v>
      </c>
      <c r="K117">
        <v>32</v>
      </c>
      <c r="L117" s="7">
        <v>49</v>
      </c>
      <c r="M117">
        <v>5</v>
      </c>
      <c r="N117">
        <v>5</v>
      </c>
      <c r="O117">
        <v>13</v>
      </c>
      <c r="P117" t="str">
        <f t="shared" si="2"/>
        <v>March</v>
      </c>
      <c r="Q117" t="str">
        <f t="shared" si="3"/>
        <v>Sunday</v>
      </c>
      <c r="R117" t="s">
        <v>68</v>
      </c>
    </row>
    <row r="118" spans="1:18">
      <c r="A118">
        <v>2022</v>
      </c>
      <c r="B118" t="s">
        <v>41</v>
      </c>
      <c r="C118" t="s">
        <v>16</v>
      </c>
      <c r="D118" t="s">
        <v>299</v>
      </c>
      <c r="E118" s="2">
        <v>44624</v>
      </c>
      <c r="F118" s="5" t="s">
        <v>300</v>
      </c>
      <c r="G118" t="s">
        <v>19</v>
      </c>
      <c r="H118" t="s">
        <v>67</v>
      </c>
      <c r="I118" t="s">
        <v>29</v>
      </c>
      <c r="J118" t="s">
        <v>22</v>
      </c>
      <c r="K118">
        <v>42</v>
      </c>
      <c r="L118" s="7">
        <v>103</v>
      </c>
      <c r="M118">
        <v>3</v>
      </c>
      <c r="N118">
        <v>3</v>
      </c>
      <c r="O118">
        <v>36</v>
      </c>
      <c r="P118" t="str">
        <f t="shared" si="2"/>
        <v>March</v>
      </c>
      <c r="Q118" t="str">
        <f t="shared" si="3"/>
        <v>Friday</v>
      </c>
      <c r="R118" t="s">
        <v>45</v>
      </c>
    </row>
    <row r="119" spans="1:18">
      <c r="A119">
        <v>2025</v>
      </c>
      <c r="B119" t="s">
        <v>72</v>
      </c>
      <c r="C119" t="s">
        <v>16</v>
      </c>
      <c r="D119" t="s">
        <v>301</v>
      </c>
      <c r="E119" s="2">
        <v>45797</v>
      </c>
      <c r="F119" s="5" t="s">
        <v>302</v>
      </c>
      <c r="G119" t="s">
        <v>35</v>
      </c>
      <c r="H119" t="s">
        <v>28</v>
      </c>
      <c r="I119" t="s">
        <v>21</v>
      </c>
      <c r="J119" t="s">
        <v>22</v>
      </c>
      <c r="K119">
        <v>38</v>
      </c>
      <c r="L119" s="7">
        <v>73</v>
      </c>
      <c r="M119">
        <v>1</v>
      </c>
      <c r="N119">
        <v>4</v>
      </c>
      <c r="O119">
        <v>25</v>
      </c>
      <c r="P119" t="str">
        <f t="shared" si="2"/>
        <v>May</v>
      </c>
      <c r="Q119" t="str">
        <f t="shared" si="3"/>
        <v>Tuesday</v>
      </c>
      <c r="R119" t="s">
        <v>58</v>
      </c>
    </row>
    <row r="120" spans="1:18">
      <c r="A120">
        <v>2023</v>
      </c>
      <c r="B120" t="s">
        <v>172</v>
      </c>
      <c r="C120" t="s">
        <v>32</v>
      </c>
      <c r="D120" t="s">
        <v>303</v>
      </c>
      <c r="E120" s="2">
        <v>45275</v>
      </c>
      <c r="F120" s="5" t="s">
        <v>177</v>
      </c>
      <c r="G120" t="s">
        <v>27</v>
      </c>
      <c r="H120" t="s">
        <v>20</v>
      </c>
      <c r="I120" t="s">
        <v>29</v>
      </c>
      <c r="J120" t="s">
        <v>22</v>
      </c>
      <c r="K120">
        <v>38</v>
      </c>
      <c r="L120" s="7">
        <v>55</v>
      </c>
      <c r="M120">
        <v>4</v>
      </c>
      <c r="N120">
        <v>4</v>
      </c>
      <c r="O120">
        <v>19</v>
      </c>
      <c r="P120" t="str">
        <f t="shared" si="2"/>
        <v>December</v>
      </c>
      <c r="Q120" t="str">
        <f t="shared" si="3"/>
        <v>Friday</v>
      </c>
      <c r="R120" t="s">
        <v>124</v>
      </c>
    </row>
    <row r="121" spans="1:18">
      <c r="A121">
        <v>2024</v>
      </c>
      <c r="B121" t="s">
        <v>131</v>
      </c>
      <c r="C121" t="s">
        <v>32</v>
      </c>
      <c r="D121" t="s">
        <v>304</v>
      </c>
      <c r="E121" s="2">
        <v>45598</v>
      </c>
      <c r="F121" s="5" t="s">
        <v>305</v>
      </c>
      <c r="G121" t="s">
        <v>57</v>
      </c>
      <c r="H121" t="s">
        <v>67</v>
      </c>
      <c r="I121" t="s">
        <v>21</v>
      </c>
      <c r="J121" t="s">
        <v>22</v>
      </c>
      <c r="K121">
        <v>22</v>
      </c>
      <c r="L121" s="7">
        <v>83</v>
      </c>
      <c r="M121">
        <v>0</v>
      </c>
      <c r="N121">
        <v>4</v>
      </c>
      <c r="O121">
        <v>34</v>
      </c>
      <c r="P121" t="str">
        <f t="shared" si="2"/>
        <v>November</v>
      </c>
      <c r="Q121" t="str">
        <f t="shared" si="3"/>
        <v>Saturday</v>
      </c>
      <c r="R121" t="s">
        <v>14</v>
      </c>
    </row>
    <row r="122" spans="1:18">
      <c r="A122">
        <v>2026</v>
      </c>
      <c r="B122" t="s">
        <v>100</v>
      </c>
      <c r="C122" t="s">
        <v>32</v>
      </c>
      <c r="D122" t="s">
        <v>306</v>
      </c>
      <c r="E122" s="2">
        <v>46024</v>
      </c>
      <c r="F122" s="5" t="s">
        <v>307</v>
      </c>
      <c r="G122" t="s">
        <v>27</v>
      </c>
      <c r="H122" t="s">
        <v>20</v>
      </c>
      <c r="I122" t="s">
        <v>21</v>
      </c>
      <c r="J122" t="s">
        <v>22</v>
      </c>
      <c r="K122">
        <v>47</v>
      </c>
      <c r="L122" s="7">
        <v>69</v>
      </c>
      <c r="M122">
        <v>4</v>
      </c>
      <c r="N122">
        <v>4</v>
      </c>
      <c r="O122">
        <v>8</v>
      </c>
      <c r="P122" t="str">
        <f t="shared" si="2"/>
        <v>January</v>
      </c>
      <c r="Q122" t="str">
        <f t="shared" si="3"/>
        <v>Friday</v>
      </c>
      <c r="R122" t="s">
        <v>58</v>
      </c>
    </row>
    <row r="123" spans="1:18">
      <c r="A123">
        <v>2022</v>
      </c>
      <c r="B123" t="s">
        <v>144</v>
      </c>
      <c r="C123" t="s">
        <v>32</v>
      </c>
      <c r="D123" t="s">
        <v>308</v>
      </c>
      <c r="E123" s="2">
        <v>44732</v>
      </c>
      <c r="F123" s="5" t="s">
        <v>309</v>
      </c>
      <c r="G123" t="s">
        <v>57</v>
      </c>
      <c r="H123" t="s">
        <v>28</v>
      </c>
      <c r="I123" t="s">
        <v>21</v>
      </c>
      <c r="J123" t="s">
        <v>22</v>
      </c>
      <c r="K123">
        <v>38</v>
      </c>
      <c r="L123" s="7">
        <v>80</v>
      </c>
      <c r="M123">
        <v>0</v>
      </c>
      <c r="N123">
        <v>6</v>
      </c>
      <c r="O123">
        <v>24</v>
      </c>
      <c r="P123" t="str">
        <f t="shared" si="2"/>
        <v>June</v>
      </c>
      <c r="Q123" t="str">
        <f t="shared" si="3"/>
        <v>Monday</v>
      </c>
      <c r="R123" t="s">
        <v>14</v>
      </c>
    </row>
    <row r="124" spans="1:18">
      <c r="A124">
        <v>2023</v>
      </c>
      <c r="B124" t="s">
        <v>144</v>
      </c>
      <c r="C124" t="s">
        <v>16</v>
      </c>
      <c r="D124" t="s">
        <v>310</v>
      </c>
      <c r="E124" s="2">
        <v>45257</v>
      </c>
      <c r="F124" s="5" t="s">
        <v>311</v>
      </c>
      <c r="G124" t="s">
        <v>19</v>
      </c>
      <c r="H124" t="s">
        <v>20</v>
      </c>
      <c r="I124" t="s">
        <v>21</v>
      </c>
      <c r="J124" t="s">
        <v>22</v>
      </c>
      <c r="K124">
        <v>54</v>
      </c>
      <c r="L124" s="7">
        <v>90</v>
      </c>
      <c r="M124">
        <v>1</v>
      </c>
      <c r="N124">
        <v>6</v>
      </c>
      <c r="O124">
        <v>26</v>
      </c>
      <c r="P124" t="str">
        <f t="shared" si="2"/>
        <v>November</v>
      </c>
      <c r="Q124" t="str">
        <f t="shared" si="3"/>
        <v>Monday</v>
      </c>
      <c r="R124" t="s">
        <v>30</v>
      </c>
    </row>
    <row r="125" spans="1:18">
      <c r="A125">
        <v>2022</v>
      </c>
      <c r="B125" t="s">
        <v>208</v>
      </c>
      <c r="C125" t="s">
        <v>16</v>
      </c>
      <c r="D125" t="s">
        <v>312</v>
      </c>
      <c r="E125" s="2">
        <v>44582</v>
      </c>
      <c r="F125" s="5" t="s">
        <v>313</v>
      </c>
      <c r="G125" t="s">
        <v>19</v>
      </c>
      <c r="H125" t="s">
        <v>28</v>
      </c>
      <c r="I125" t="s">
        <v>44</v>
      </c>
      <c r="J125" t="s">
        <v>22</v>
      </c>
      <c r="K125">
        <v>43</v>
      </c>
      <c r="L125" s="7">
        <v>57</v>
      </c>
      <c r="M125">
        <v>1</v>
      </c>
      <c r="N125">
        <v>5</v>
      </c>
      <c r="O125">
        <v>12</v>
      </c>
      <c r="P125" t="str">
        <f t="shared" si="2"/>
        <v>January</v>
      </c>
      <c r="Q125" t="str">
        <f t="shared" si="3"/>
        <v>Friday</v>
      </c>
      <c r="R125" t="s">
        <v>71</v>
      </c>
    </row>
    <row r="126" spans="1:18">
      <c r="A126">
        <v>2022</v>
      </c>
      <c r="B126" t="s">
        <v>131</v>
      </c>
      <c r="C126" t="s">
        <v>16</v>
      </c>
      <c r="D126" t="s">
        <v>314</v>
      </c>
      <c r="E126" s="2">
        <v>44857</v>
      </c>
      <c r="F126" s="5" t="s">
        <v>315</v>
      </c>
      <c r="G126" t="s">
        <v>27</v>
      </c>
      <c r="H126" t="s">
        <v>36</v>
      </c>
      <c r="I126" t="s">
        <v>44</v>
      </c>
      <c r="J126" t="s">
        <v>53</v>
      </c>
      <c r="K126">
        <v>25</v>
      </c>
      <c r="L126" s="7">
        <v>55</v>
      </c>
      <c r="M126">
        <v>2</v>
      </c>
      <c r="N126">
        <v>1</v>
      </c>
      <c r="O126">
        <v>27</v>
      </c>
      <c r="P126" t="str">
        <f t="shared" si="2"/>
        <v>October</v>
      </c>
      <c r="Q126" t="str">
        <f t="shared" si="3"/>
        <v>Sunday</v>
      </c>
      <c r="R126" t="s">
        <v>105</v>
      </c>
    </row>
    <row r="127" spans="1:18">
      <c r="A127">
        <v>2025</v>
      </c>
      <c r="B127" t="s">
        <v>46</v>
      </c>
      <c r="C127" t="s">
        <v>32</v>
      </c>
      <c r="D127" t="s">
        <v>316</v>
      </c>
      <c r="E127" s="2">
        <v>46005</v>
      </c>
      <c r="F127" s="5" t="s">
        <v>317</v>
      </c>
      <c r="G127" t="s">
        <v>19</v>
      </c>
      <c r="H127" t="s">
        <v>20</v>
      </c>
      <c r="I127" t="s">
        <v>29</v>
      </c>
      <c r="J127" t="s">
        <v>22</v>
      </c>
      <c r="K127">
        <v>26</v>
      </c>
      <c r="L127" s="7">
        <v>99</v>
      </c>
      <c r="M127">
        <v>2</v>
      </c>
      <c r="N127">
        <v>1</v>
      </c>
      <c r="O127">
        <v>39</v>
      </c>
      <c r="P127" t="str">
        <f t="shared" si="2"/>
        <v>December</v>
      </c>
      <c r="Q127" t="str">
        <f t="shared" si="3"/>
        <v>Sunday</v>
      </c>
      <c r="R127" t="s">
        <v>45</v>
      </c>
    </row>
    <row r="128" spans="1:18">
      <c r="A128">
        <v>2025</v>
      </c>
      <c r="B128" t="s">
        <v>172</v>
      </c>
      <c r="C128" t="s">
        <v>16</v>
      </c>
      <c r="D128" t="s">
        <v>318</v>
      </c>
      <c r="E128" s="2">
        <v>45972</v>
      </c>
      <c r="F128" s="5" t="s">
        <v>319</v>
      </c>
      <c r="G128" t="s">
        <v>27</v>
      </c>
      <c r="H128" t="s">
        <v>36</v>
      </c>
      <c r="I128" t="s">
        <v>29</v>
      </c>
      <c r="J128" t="s">
        <v>53</v>
      </c>
      <c r="K128">
        <v>28</v>
      </c>
      <c r="L128" s="7">
        <v>60</v>
      </c>
      <c r="M128">
        <v>1</v>
      </c>
      <c r="N128">
        <v>3</v>
      </c>
      <c r="O128">
        <v>15</v>
      </c>
      <c r="P128" t="str">
        <f t="shared" si="2"/>
        <v>November</v>
      </c>
      <c r="Q128" t="str">
        <f t="shared" si="3"/>
        <v>Tuesday</v>
      </c>
      <c r="R128" t="s">
        <v>71</v>
      </c>
    </row>
    <row r="129" spans="1:18">
      <c r="A129">
        <v>2024</v>
      </c>
      <c r="B129" t="s">
        <v>106</v>
      </c>
      <c r="C129" t="s">
        <v>16</v>
      </c>
      <c r="D129" t="s">
        <v>320</v>
      </c>
      <c r="E129" s="2">
        <v>45526</v>
      </c>
      <c r="F129" s="5" t="s">
        <v>321</v>
      </c>
      <c r="G129" t="s">
        <v>35</v>
      </c>
      <c r="H129" t="s">
        <v>20</v>
      </c>
      <c r="I129" t="s">
        <v>29</v>
      </c>
      <c r="J129" t="s">
        <v>22</v>
      </c>
      <c r="K129">
        <v>20</v>
      </c>
      <c r="L129" s="7">
        <v>106</v>
      </c>
      <c r="M129">
        <v>3</v>
      </c>
      <c r="N129">
        <v>3</v>
      </c>
      <c r="O129">
        <v>14</v>
      </c>
      <c r="P129" t="str">
        <f t="shared" si="2"/>
        <v>August</v>
      </c>
      <c r="Q129" t="str">
        <f t="shared" si="3"/>
        <v>Thursday</v>
      </c>
      <c r="R129" t="s">
        <v>105</v>
      </c>
    </row>
    <row r="130" spans="1:18">
      <c r="A130">
        <v>2024</v>
      </c>
      <c r="B130" t="s">
        <v>77</v>
      </c>
      <c r="C130" t="s">
        <v>32</v>
      </c>
      <c r="D130" t="s">
        <v>322</v>
      </c>
      <c r="E130" s="2">
        <v>45477</v>
      </c>
      <c r="F130" s="5" t="s">
        <v>323</v>
      </c>
      <c r="G130" t="s">
        <v>49</v>
      </c>
      <c r="H130" t="s">
        <v>20</v>
      </c>
      <c r="I130" t="s">
        <v>29</v>
      </c>
      <c r="J130" t="s">
        <v>22</v>
      </c>
      <c r="K130">
        <v>23</v>
      </c>
      <c r="L130" s="7">
        <v>94</v>
      </c>
      <c r="M130">
        <v>4</v>
      </c>
      <c r="N130">
        <v>3</v>
      </c>
      <c r="O130">
        <v>35</v>
      </c>
      <c r="P130" t="str">
        <f t="shared" si="2"/>
        <v>July</v>
      </c>
      <c r="Q130" t="str">
        <f t="shared" si="3"/>
        <v>Thursday</v>
      </c>
      <c r="R130" t="s">
        <v>23</v>
      </c>
    </row>
    <row r="131" spans="1:18">
      <c r="A131">
        <v>2022</v>
      </c>
      <c r="B131" t="s">
        <v>208</v>
      </c>
      <c r="C131" t="s">
        <v>16</v>
      </c>
      <c r="D131" t="s">
        <v>324</v>
      </c>
      <c r="E131" s="2">
        <v>44845</v>
      </c>
      <c r="F131" s="5" t="s">
        <v>325</v>
      </c>
      <c r="G131" t="s">
        <v>49</v>
      </c>
      <c r="H131" t="s">
        <v>28</v>
      </c>
      <c r="I131" t="s">
        <v>21</v>
      </c>
      <c r="J131" t="s">
        <v>22</v>
      </c>
      <c r="K131">
        <v>64</v>
      </c>
      <c r="L131" s="7">
        <v>72</v>
      </c>
      <c r="M131">
        <v>0</v>
      </c>
      <c r="N131">
        <v>5</v>
      </c>
      <c r="O131">
        <v>45</v>
      </c>
      <c r="P131" t="str">
        <f t="shared" ref="P131:P194" si="4">TEXT(E131,"mmmm")</f>
        <v>October</v>
      </c>
      <c r="Q131" t="str">
        <f t="shared" ref="Q131:Q194" si="5">TEXT(E131,"dddd")</f>
        <v>Tuesday</v>
      </c>
      <c r="R131" t="s">
        <v>37</v>
      </c>
    </row>
    <row r="132" spans="1:18">
      <c r="A132">
        <v>2024</v>
      </c>
      <c r="B132" t="s">
        <v>31</v>
      </c>
      <c r="C132" t="s">
        <v>16</v>
      </c>
      <c r="D132" t="s">
        <v>326</v>
      </c>
      <c r="E132" s="2">
        <v>45559</v>
      </c>
      <c r="F132" s="5" t="s">
        <v>327</v>
      </c>
      <c r="G132" t="s">
        <v>19</v>
      </c>
      <c r="H132" t="s">
        <v>36</v>
      </c>
      <c r="I132" t="s">
        <v>44</v>
      </c>
      <c r="J132" t="s">
        <v>53</v>
      </c>
      <c r="K132">
        <v>48</v>
      </c>
      <c r="L132" s="7">
        <v>68</v>
      </c>
      <c r="M132">
        <v>1</v>
      </c>
      <c r="N132">
        <v>3</v>
      </c>
      <c r="O132">
        <v>38</v>
      </c>
      <c r="P132" t="str">
        <f t="shared" si="4"/>
        <v>September</v>
      </c>
      <c r="Q132" t="str">
        <f t="shared" si="5"/>
        <v>Tuesday</v>
      </c>
      <c r="R132" t="s">
        <v>37</v>
      </c>
    </row>
    <row r="133" spans="1:18">
      <c r="A133">
        <v>2024</v>
      </c>
      <c r="B133" t="s">
        <v>147</v>
      </c>
      <c r="C133" t="s">
        <v>16</v>
      </c>
      <c r="D133" t="s">
        <v>328</v>
      </c>
      <c r="E133" s="2">
        <v>45482</v>
      </c>
      <c r="F133" s="5" t="s">
        <v>329</v>
      </c>
      <c r="G133" t="s">
        <v>27</v>
      </c>
      <c r="H133" t="s">
        <v>67</v>
      </c>
      <c r="I133" t="s">
        <v>21</v>
      </c>
      <c r="J133" t="s">
        <v>53</v>
      </c>
      <c r="K133">
        <v>63</v>
      </c>
      <c r="L133" s="7">
        <v>102</v>
      </c>
      <c r="M133">
        <v>2</v>
      </c>
      <c r="N133">
        <v>3</v>
      </c>
      <c r="O133">
        <v>29</v>
      </c>
      <c r="P133" t="str">
        <f t="shared" si="4"/>
        <v>July</v>
      </c>
      <c r="Q133" t="str">
        <f t="shared" si="5"/>
        <v>Tuesday</v>
      </c>
      <c r="R133" t="s">
        <v>37</v>
      </c>
    </row>
    <row r="134" spans="1:18">
      <c r="A134">
        <v>2022</v>
      </c>
      <c r="B134" t="s">
        <v>136</v>
      </c>
      <c r="C134" t="s">
        <v>16</v>
      </c>
      <c r="D134" t="s">
        <v>330</v>
      </c>
      <c r="E134" s="2">
        <v>44831</v>
      </c>
      <c r="F134" s="5" t="s">
        <v>331</v>
      </c>
      <c r="G134" t="s">
        <v>57</v>
      </c>
      <c r="H134" t="s">
        <v>67</v>
      </c>
      <c r="I134" t="s">
        <v>21</v>
      </c>
      <c r="J134" t="s">
        <v>22</v>
      </c>
      <c r="K134">
        <v>24</v>
      </c>
      <c r="L134" s="7">
        <v>44</v>
      </c>
      <c r="M134">
        <v>5</v>
      </c>
      <c r="N134">
        <v>3</v>
      </c>
      <c r="O134">
        <v>8</v>
      </c>
      <c r="P134" t="str">
        <f t="shared" si="4"/>
        <v>September</v>
      </c>
      <c r="Q134" t="str">
        <f t="shared" si="5"/>
        <v>Tuesday</v>
      </c>
      <c r="R134" t="s">
        <v>30</v>
      </c>
    </row>
    <row r="135" spans="1:18">
      <c r="A135">
        <v>2023</v>
      </c>
      <c r="B135" t="s">
        <v>46</v>
      </c>
      <c r="C135" t="s">
        <v>16</v>
      </c>
      <c r="D135" t="s">
        <v>332</v>
      </c>
      <c r="E135" s="2">
        <v>45252</v>
      </c>
      <c r="F135" s="5" t="s">
        <v>333</v>
      </c>
      <c r="G135" t="s">
        <v>49</v>
      </c>
      <c r="H135" t="s">
        <v>67</v>
      </c>
      <c r="I135" t="s">
        <v>29</v>
      </c>
      <c r="J135" t="s">
        <v>53</v>
      </c>
      <c r="K135">
        <v>35</v>
      </c>
      <c r="L135" s="7">
        <v>59</v>
      </c>
      <c r="M135">
        <v>1</v>
      </c>
      <c r="N135">
        <v>3</v>
      </c>
      <c r="O135">
        <v>40</v>
      </c>
      <c r="P135" t="str">
        <f t="shared" si="4"/>
        <v>November</v>
      </c>
      <c r="Q135" t="str">
        <f t="shared" si="5"/>
        <v>Wednesday</v>
      </c>
      <c r="R135" t="s">
        <v>58</v>
      </c>
    </row>
    <row r="136" spans="1:18">
      <c r="A136">
        <v>2022</v>
      </c>
      <c r="B136" t="s">
        <v>31</v>
      </c>
      <c r="C136" t="s">
        <v>16</v>
      </c>
      <c r="D136" t="s">
        <v>334</v>
      </c>
      <c r="E136" s="2">
        <v>44664</v>
      </c>
      <c r="F136" s="5" t="s">
        <v>335</v>
      </c>
      <c r="G136" t="s">
        <v>49</v>
      </c>
      <c r="H136" t="s">
        <v>36</v>
      </c>
      <c r="I136" t="s">
        <v>44</v>
      </c>
      <c r="J136" t="s">
        <v>22</v>
      </c>
      <c r="K136">
        <v>64</v>
      </c>
      <c r="L136" s="7">
        <v>112</v>
      </c>
      <c r="M136">
        <v>5</v>
      </c>
      <c r="N136">
        <v>0</v>
      </c>
      <c r="O136">
        <v>29</v>
      </c>
      <c r="P136" t="str">
        <f t="shared" si="4"/>
        <v>April</v>
      </c>
      <c r="Q136" t="str">
        <f t="shared" si="5"/>
        <v>Wednesday</v>
      </c>
      <c r="R136" t="s">
        <v>23</v>
      </c>
    </row>
    <row r="137" spans="1:18">
      <c r="A137">
        <v>2024</v>
      </c>
      <c r="B137" t="s">
        <v>31</v>
      </c>
      <c r="C137" t="s">
        <v>16</v>
      </c>
      <c r="D137" t="s">
        <v>336</v>
      </c>
      <c r="E137" s="2">
        <v>45341</v>
      </c>
      <c r="F137" s="5" t="s">
        <v>337</v>
      </c>
      <c r="G137" t="s">
        <v>57</v>
      </c>
      <c r="H137" t="s">
        <v>28</v>
      </c>
      <c r="I137" t="s">
        <v>44</v>
      </c>
      <c r="J137" t="s">
        <v>22</v>
      </c>
      <c r="K137">
        <v>26</v>
      </c>
      <c r="L137" s="7">
        <v>83</v>
      </c>
      <c r="M137">
        <v>4</v>
      </c>
      <c r="N137">
        <v>0</v>
      </c>
      <c r="O137">
        <v>16</v>
      </c>
      <c r="P137" t="str">
        <f t="shared" si="4"/>
        <v>February</v>
      </c>
      <c r="Q137" t="str">
        <f t="shared" si="5"/>
        <v>Monday</v>
      </c>
      <c r="R137" t="s">
        <v>68</v>
      </c>
    </row>
    <row r="138" spans="1:18">
      <c r="A138">
        <v>2025</v>
      </c>
      <c r="B138" t="s">
        <v>156</v>
      </c>
      <c r="C138" t="s">
        <v>32</v>
      </c>
      <c r="D138" t="s">
        <v>338</v>
      </c>
      <c r="E138" s="2">
        <v>45965</v>
      </c>
      <c r="F138" s="5" t="s">
        <v>339</v>
      </c>
      <c r="G138" t="s">
        <v>35</v>
      </c>
      <c r="H138" t="s">
        <v>36</v>
      </c>
      <c r="I138" t="s">
        <v>21</v>
      </c>
      <c r="J138" t="s">
        <v>22</v>
      </c>
      <c r="K138">
        <v>43</v>
      </c>
      <c r="L138" s="7">
        <v>71</v>
      </c>
      <c r="M138">
        <v>1</v>
      </c>
      <c r="N138">
        <v>2</v>
      </c>
      <c r="O138">
        <v>39</v>
      </c>
      <c r="P138" t="str">
        <f t="shared" si="4"/>
        <v>November</v>
      </c>
      <c r="Q138" t="str">
        <f t="shared" si="5"/>
        <v>Tuesday</v>
      </c>
      <c r="R138" t="s">
        <v>23</v>
      </c>
    </row>
    <row r="139" spans="1:18">
      <c r="A139">
        <v>2025</v>
      </c>
      <c r="B139" t="s">
        <v>147</v>
      </c>
      <c r="C139" t="s">
        <v>16</v>
      </c>
      <c r="D139" t="s">
        <v>340</v>
      </c>
      <c r="E139" s="2">
        <v>45835</v>
      </c>
      <c r="F139" s="5" t="s">
        <v>294</v>
      </c>
      <c r="G139" t="s">
        <v>57</v>
      </c>
      <c r="H139" t="s">
        <v>67</v>
      </c>
      <c r="I139" t="s">
        <v>44</v>
      </c>
      <c r="J139" t="s">
        <v>22</v>
      </c>
      <c r="K139">
        <v>58</v>
      </c>
      <c r="L139" s="7">
        <v>55</v>
      </c>
      <c r="M139">
        <v>2</v>
      </c>
      <c r="N139">
        <v>3</v>
      </c>
      <c r="O139">
        <v>9</v>
      </c>
      <c r="P139" t="str">
        <f t="shared" si="4"/>
        <v>June</v>
      </c>
      <c r="Q139" t="str">
        <f t="shared" si="5"/>
        <v>Friday</v>
      </c>
      <c r="R139" t="s">
        <v>23</v>
      </c>
    </row>
    <row r="140" spans="1:18">
      <c r="A140">
        <v>2023</v>
      </c>
      <c r="B140" t="s">
        <v>72</v>
      </c>
      <c r="C140" t="s">
        <v>16</v>
      </c>
      <c r="D140" t="s">
        <v>341</v>
      </c>
      <c r="E140" s="2">
        <v>45105</v>
      </c>
      <c r="F140" s="5" t="s">
        <v>342</v>
      </c>
      <c r="G140" t="s">
        <v>19</v>
      </c>
      <c r="H140" t="s">
        <v>67</v>
      </c>
      <c r="I140" t="s">
        <v>29</v>
      </c>
      <c r="J140" t="s">
        <v>53</v>
      </c>
      <c r="K140">
        <v>65</v>
      </c>
      <c r="L140" s="7">
        <v>102</v>
      </c>
      <c r="M140">
        <v>5</v>
      </c>
      <c r="N140">
        <v>5</v>
      </c>
      <c r="O140">
        <v>30</v>
      </c>
      <c r="P140" t="str">
        <f t="shared" si="4"/>
        <v>June</v>
      </c>
      <c r="Q140" t="str">
        <f t="shared" si="5"/>
        <v>Wednesday</v>
      </c>
      <c r="R140" t="s">
        <v>37</v>
      </c>
    </row>
    <row r="141" spans="1:18">
      <c r="A141">
        <v>2024</v>
      </c>
      <c r="B141" t="s">
        <v>15</v>
      </c>
      <c r="C141" t="s">
        <v>16</v>
      </c>
      <c r="D141" t="s">
        <v>343</v>
      </c>
      <c r="E141" s="2">
        <v>45475</v>
      </c>
      <c r="F141" s="5" t="s">
        <v>344</v>
      </c>
      <c r="G141" t="s">
        <v>49</v>
      </c>
      <c r="H141" t="s">
        <v>36</v>
      </c>
      <c r="I141" t="s">
        <v>44</v>
      </c>
      <c r="J141" t="s">
        <v>53</v>
      </c>
      <c r="K141">
        <v>18</v>
      </c>
      <c r="L141" s="7">
        <v>91</v>
      </c>
      <c r="M141">
        <v>4</v>
      </c>
      <c r="N141">
        <v>2</v>
      </c>
      <c r="O141">
        <v>42</v>
      </c>
      <c r="P141" t="str">
        <f t="shared" si="4"/>
        <v>July</v>
      </c>
      <c r="Q141" t="str">
        <f t="shared" si="5"/>
        <v>Tuesday</v>
      </c>
      <c r="R141" t="s">
        <v>58</v>
      </c>
    </row>
    <row r="142" spans="1:18">
      <c r="A142">
        <v>2025</v>
      </c>
      <c r="B142" t="s">
        <v>50</v>
      </c>
      <c r="C142" t="s">
        <v>16</v>
      </c>
      <c r="D142" t="s">
        <v>345</v>
      </c>
      <c r="E142" s="2">
        <v>45979</v>
      </c>
      <c r="F142" s="5" t="s">
        <v>346</v>
      </c>
      <c r="G142" t="s">
        <v>57</v>
      </c>
      <c r="H142" t="s">
        <v>28</v>
      </c>
      <c r="I142" t="s">
        <v>44</v>
      </c>
      <c r="J142" t="s">
        <v>22</v>
      </c>
      <c r="K142">
        <v>33</v>
      </c>
      <c r="L142" s="7">
        <v>65</v>
      </c>
      <c r="M142">
        <v>2</v>
      </c>
      <c r="N142">
        <v>3</v>
      </c>
      <c r="O142">
        <v>43</v>
      </c>
      <c r="P142" t="str">
        <f t="shared" si="4"/>
        <v>November</v>
      </c>
      <c r="Q142" t="str">
        <f t="shared" si="5"/>
        <v>Tuesday</v>
      </c>
      <c r="R142" t="s">
        <v>124</v>
      </c>
    </row>
    <row r="143" spans="1:18">
      <c r="A143">
        <v>2025</v>
      </c>
      <c r="B143" t="s">
        <v>50</v>
      </c>
      <c r="C143" t="s">
        <v>32</v>
      </c>
      <c r="D143" t="s">
        <v>347</v>
      </c>
      <c r="E143" s="2">
        <v>46001</v>
      </c>
      <c r="F143" s="5" t="s">
        <v>348</v>
      </c>
      <c r="G143" t="s">
        <v>57</v>
      </c>
      <c r="H143" t="s">
        <v>20</v>
      </c>
      <c r="I143" t="s">
        <v>29</v>
      </c>
      <c r="J143" t="s">
        <v>53</v>
      </c>
      <c r="K143">
        <v>56</v>
      </c>
      <c r="L143" s="7">
        <v>62</v>
      </c>
      <c r="M143">
        <v>0</v>
      </c>
      <c r="N143">
        <v>4</v>
      </c>
      <c r="O143">
        <v>15</v>
      </c>
      <c r="P143" t="str">
        <f t="shared" si="4"/>
        <v>December</v>
      </c>
      <c r="Q143" t="str">
        <f t="shared" si="5"/>
        <v>Wednesday</v>
      </c>
      <c r="R143" t="s">
        <v>37</v>
      </c>
    </row>
    <row r="144" spans="1:18">
      <c r="A144">
        <v>2023</v>
      </c>
      <c r="B144" t="s">
        <v>172</v>
      </c>
      <c r="C144" t="s">
        <v>32</v>
      </c>
      <c r="D144" t="s">
        <v>349</v>
      </c>
      <c r="E144" s="2">
        <v>44946</v>
      </c>
      <c r="F144" s="5" t="s">
        <v>350</v>
      </c>
      <c r="G144" t="s">
        <v>27</v>
      </c>
      <c r="H144" t="s">
        <v>28</v>
      </c>
      <c r="I144" t="s">
        <v>21</v>
      </c>
      <c r="J144" t="s">
        <v>22</v>
      </c>
      <c r="K144">
        <v>60</v>
      </c>
      <c r="L144" s="7">
        <v>84</v>
      </c>
      <c r="M144">
        <v>4</v>
      </c>
      <c r="N144">
        <v>3</v>
      </c>
      <c r="O144">
        <v>34</v>
      </c>
      <c r="P144" t="str">
        <f t="shared" si="4"/>
        <v>January</v>
      </c>
      <c r="Q144" t="str">
        <f t="shared" si="5"/>
        <v>Friday</v>
      </c>
      <c r="R144" t="s">
        <v>23</v>
      </c>
    </row>
    <row r="145" spans="1:18">
      <c r="A145">
        <v>2022</v>
      </c>
      <c r="B145" t="s">
        <v>59</v>
      </c>
      <c r="C145" t="s">
        <v>16</v>
      </c>
      <c r="D145" t="s">
        <v>351</v>
      </c>
      <c r="E145" s="2">
        <v>44916</v>
      </c>
      <c r="F145" s="5" t="s">
        <v>352</v>
      </c>
      <c r="G145" t="s">
        <v>49</v>
      </c>
      <c r="H145" t="s">
        <v>67</v>
      </c>
      <c r="I145" t="s">
        <v>44</v>
      </c>
      <c r="J145" t="s">
        <v>22</v>
      </c>
      <c r="K145">
        <v>20</v>
      </c>
      <c r="L145" s="7">
        <v>118</v>
      </c>
      <c r="M145">
        <v>1</v>
      </c>
      <c r="N145">
        <v>3</v>
      </c>
      <c r="O145">
        <v>16</v>
      </c>
      <c r="P145" t="str">
        <f t="shared" si="4"/>
        <v>December</v>
      </c>
      <c r="Q145" t="str">
        <f t="shared" si="5"/>
        <v>Wednesday</v>
      </c>
      <c r="R145" t="s">
        <v>71</v>
      </c>
    </row>
    <row r="146" spans="1:18">
      <c r="A146">
        <v>2024</v>
      </c>
      <c r="B146" t="s">
        <v>54</v>
      </c>
      <c r="C146" t="s">
        <v>16</v>
      </c>
      <c r="D146" t="s">
        <v>353</v>
      </c>
      <c r="E146" s="2">
        <v>45426</v>
      </c>
      <c r="F146" s="5" t="s">
        <v>354</v>
      </c>
      <c r="G146" t="s">
        <v>57</v>
      </c>
      <c r="H146" t="s">
        <v>67</v>
      </c>
      <c r="I146" t="s">
        <v>44</v>
      </c>
      <c r="J146" t="s">
        <v>53</v>
      </c>
      <c r="K146">
        <v>63</v>
      </c>
      <c r="L146" s="7">
        <v>104</v>
      </c>
      <c r="M146">
        <v>1</v>
      </c>
      <c r="N146">
        <v>5</v>
      </c>
      <c r="O146">
        <v>17</v>
      </c>
      <c r="P146" t="str">
        <f t="shared" si="4"/>
        <v>May</v>
      </c>
      <c r="Q146" t="str">
        <f t="shared" si="5"/>
        <v>Tuesday</v>
      </c>
      <c r="R146" t="s">
        <v>45</v>
      </c>
    </row>
    <row r="147" spans="1:18">
      <c r="A147">
        <v>2024</v>
      </c>
      <c r="B147" t="s">
        <v>93</v>
      </c>
      <c r="C147" t="s">
        <v>16</v>
      </c>
      <c r="D147" t="s">
        <v>355</v>
      </c>
      <c r="E147" s="2">
        <v>45386</v>
      </c>
      <c r="F147" s="5" t="s">
        <v>356</v>
      </c>
      <c r="G147" t="s">
        <v>57</v>
      </c>
      <c r="H147" t="s">
        <v>20</v>
      </c>
      <c r="I147" t="s">
        <v>44</v>
      </c>
      <c r="J147" t="s">
        <v>53</v>
      </c>
      <c r="K147">
        <v>32</v>
      </c>
      <c r="L147" s="7">
        <v>61</v>
      </c>
      <c r="M147">
        <v>4</v>
      </c>
      <c r="N147">
        <v>3</v>
      </c>
      <c r="O147">
        <v>22</v>
      </c>
      <c r="P147" t="str">
        <f t="shared" si="4"/>
        <v>April</v>
      </c>
      <c r="Q147" t="str">
        <f t="shared" si="5"/>
        <v>Thursday</v>
      </c>
      <c r="R147" t="s">
        <v>68</v>
      </c>
    </row>
    <row r="148" spans="1:18">
      <c r="A148">
        <v>2023</v>
      </c>
      <c r="B148" t="s">
        <v>141</v>
      </c>
      <c r="C148" t="s">
        <v>32</v>
      </c>
      <c r="D148" t="s">
        <v>357</v>
      </c>
      <c r="E148" s="2">
        <v>44933</v>
      </c>
      <c r="F148" s="5" t="s">
        <v>358</v>
      </c>
      <c r="G148" t="s">
        <v>19</v>
      </c>
      <c r="H148" t="s">
        <v>67</v>
      </c>
      <c r="I148" t="s">
        <v>29</v>
      </c>
      <c r="J148" t="s">
        <v>22</v>
      </c>
      <c r="K148">
        <v>45</v>
      </c>
      <c r="L148" s="7">
        <v>108</v>
      </c>
      <c r="M148">
        <v>0</v>
      </c>
      <c r="N148">
        <v>5</v>
      </c>
      <c r="O148">
        <v>18</v>
      </c>
      <c r="P148" t="str">
        <f t="shared" si="4"/>
        <v>January</v>
      </c>
      <c r="Q148" t="str">
        <f t="shared" si="5"/>
        <v>Saturday</v>
      </c>
      <c r="R148" t="s">
        <v>23</v>
      </c>
    </row>
    <row r="149" spans="1:18">
      <c r="A149">
        <v>2022</v>
      </c>
      <c r="B149" t="s">
        <v>41</v>
      </c>
      <c r="C149" t="s">
        <v>32</v>
      </c>
      <c r="D149" t="s">
        <v>359</v>
      </c>
      <c r="E149" s="2">
        <v>44811</v>
      </c>
      <c r="F149" s="5" t="s">
        <v>360</v>
      </c>
      <c r="G149" t="s">
        <v>57</v>
      </c>
      <c r="H149" t="s">
        <v>36</v>
      </c>
      <c r="I149" t="s">
        <v>29</v>
      </c>
      <c r="J149" t="s">
        <v>22</v>
      </c>
      <c r="K149">
        <v>25</v>
      </c>
      <c r="L149" s="7">
        <v>61</v>
      </c>
      <c r="M149">
        <v>2</v>
      </c>
      <c r="N149">
        <v>5</v>
      </c>
      <c r="O149">
        <v>17</v>
      </c>
      <c r="P149" t="str">
        <f t="shared" si="4"/>
        <v>September</v>
      </c>
      <c r="Q149" t="str">
        <f t="shared" si="5"/>
        <v>Wednesday</v>
      </c>
      <c r="R149" t="s">
        <v>23</v>
      </c>
    </row>
    <row r="150" spans="1:18">
      <c r="A150">
        <v>2022</v>
      </c>
      <c r="B150" t="s">
        <v>59</v>
      </c>
      <c r="C150" t="s">
        <v>32</v>
      </c>
      <c r="D150" t="s">
        <v>361</v>
      </c>
      <c r="E150" s="2">
        <v>44733</v>
      </c>
      <c r="F150" s="5" t="s">
        <v>362</v>
      </c>
      <c r="G150" t="s">
        <v>19</v>
      </c>
      <c r="H150" t="s">
        <v>36</v>
      </c>
      <c r="I150" t="s">
        <v>21</v>
      </c>
      <c r="J150" t="s">
        <v>22</v>
      </c>
      <c r="K150">
        <v>21</v>
      </c>
      <c r="L150" s="7">
        <v>65</v>
      </c>
      <c r="M150">
        <v>1</v>
      </c>
      <c r="N150">
        <v>4</v>
      </c>
      <c r="O150">
        <v>27</v>
      </c>
      <c r="P150" t="str">
        <f t="shared" si="4"/>
        <v>June</v>
      </c>
      <c r="Q150" t="str">
        <f t="shared" si="5"/>
        <v>Tuesday</v>
      </c>
      <c r="R150" t="s">
        <v>68</v>
      </c>
    </row>
    <row r="151" spans="1:18">
      <c r="A151">
        <v>2023</v>
      </c>
      <c r="B151" t="s">
        <v>88</v>
      </c>
      <c r="C151" t="s">
        <v>16</v>
      </c>
      <c r="D151" t="s">
        <v>363</v>
      </c>
      <c r="E151" s="2">
        <v>45020</v>
      </c>
      <c r="F151" s="5" t="s">
        <v>364</v>
      </c>
      <c r="G151" t="s">
        <v>35</v>
      </c>
      <c r="H151" t="s">
        <v>67</v>
      </c>
      <c r="I151" t="s">
        <v>44</v>
      </c>
      <c r="J151" t="s">
        <v>22</v>
      </c>
      <c r="K151">
        <v>64</v>
      </c>
      <c r="L151" s="7">
        <v>70</v>
      </c>
      <c r="M151">
        <v>1</v>
      </c>
      <c r="N151">
        <v>4</v>
      </c>
      <c r="O151">
        <v>45</v>
      </c>
      <c r="P151" t="str">
        <f t="shared" si="4"/>
        <v>April</v>
      </c>
      <c r="Q151" t="str">
        <f t="shared" si="5"/>
        <v>Tuesday</v>
      </c>
      <c r="R151" t="s">
        <v>58</v>
      </c>
    </row>
    <row r="152" spans="1:18">
      <c r="A152">
        <v>2024</v>
      </c>
      <c r="B152" t="s">
        <v>131</v>
      </c>
      <c r="C152" t="s">
        <v>32</v>
      </c>
      <c r="D152" t="s">
        <v>365</v>
      </c>
      <c r="E152" s="2">
        <v>45645</v>
      </c>
      <c r="F152" s="5" t="s">
        <v>366</v>
      </c>
      <c r="G152" t="s">
        <v>35</v>
      </c>
      <c r="H152" t="s">
        <v>28</v>
      </c>
      <c r="I152" t="s">
        <v>29</v>
      </c>
      <c r="J152" t="s">
        <v>22</v>
      </c>
      <c r="K152">
        <v>59</v>
      </c>
      <c r="L152" s="7">
        <v>55</v>
      </c>
      <c r="M152">
        <v>4</v>
      </c>
      <c r="N152">
        <v>6</v>
      </c>
      <c r="O152">
        <v>18</v>
      </c>
      <c r="P152" t="str">
        <f t="shared" si="4"/>
        <v>December</v>
      </c>
      <c r="Q152" t="str">
        <f t="shared" si="5"/>
        <v>Thursday</v>
      </c>
      <c r="R152" t="s">
        <v>30</v>
      </c>
    </row>
    <row r="153" spans="1:18">
      <c r="A153">
        <v>2022</v>
      </c>
      <c r="B153" t="s">
        <v>100</v>
      </c>
      <c r="C153" t="s">
        <v>16</v>
      </c>
      <c r="D153" t="s">
        <v>367</v>
      </c>
      <c r="E153" s="2">
        <v>44916</v>
      </c>
      <c r="F153" s="5" t="s">
        <v>368</v>
      </c>
      <c r="G153" t="s">
        <v>49</v>
      </c>
      <c r="H153" t="s">
        <v>36</v>
      </c>
      <c r="I153" t="s">
        <v>44</v>
      </c>
      <c r="J153" t="s">
        <v>22</v>
      </c>
      <c r="K153">
        <v>26</v>
      </c>
      <c r="L153" s="7">
        <v>82</v>
      </c>
      <c r="M153">
        <v>1</v>
      </c>
      <c r="N153">
        <v>4</v>
      </c>
      <c r="O153">
        <v>20</v>
      </c>
      <c r="P153" t="str">
        <f t="shared" si="4"/>
        <v>December</v>
      </c>
      <c r="Q153" t="str">
        <f t="shared" si="5"/>
        <v>Wednesday</v>
      </c>
      <c r="R153" t="s">
        <v>14</v>
      </c>
    </row>
    <row r="154" spans="1:18">
      <c r="A154">
        <v>2023</v>
      </c>
      <c r="B154" t="s">
        <v>77</v>
      </c>
      <c r="C154" t="s">
        <v>16</v>
      </c>
      <c r="D154" t="s">
        <v>369</v>
      </c>
      <c r="E154" s="2">
        <v>45249</v>
      </c>
      <c r="F154" s="5" t="s">
        <v>158</v>
      </c>
      <c r="G154" t="s">
        <v>35</v>
      </c>
      <c r="H154" t="s">
        <v>36</v>
      </c>
      <c r="I154" t="s">
        <v>29</v>
      </c>
      <c r="J154" t="s">
        <v>53</v>
      </c>
      <c r="K154">
        <v>50</v>
      </c>
      <c r="L154" s="7">
        <v>54</v>
      </c>
      <c r="M154">
        <v>2</v>
      </c>
      <c r="N154">
        <v>0</v>
      </c>
      <c r="O154">
        <v>13</v>
      </c>
      <c r="P154" t="str">
        <f t="shared" si="4"/>
        <v>November</v>
      </c>
      <c r="Q154" t="str">
        <f t="shared" si="5"/>
        <v>Sunday</v>
      </c>
      <c r="R154" t="s">
        <v>124</v>
      </c>
    </row>
    <row r="155" spans="1:18">
      <c r="A155">
        <v>2024</v>
      </c>
      <c r="B155" t="s">
        <v>208</v>
      </c>
      <c r="C155" t="s">
        <v>32</v>
      </c>
      <c r="D155" t="s">
        <v>370</v>
      </c>
      <c r="E155" s="2">
        <v>45590</v>
      </c>
      <c r="F155" s="5" t="s">
        <v>371</v>
      </c>
      <c r="G155" t="s">
        <v>27</v>
      </c>
      <c r="H155" t="s">
        <v>20</v>
      </c>
      <c r="I155" t="s">
        <v>44</v>
      </c>
      <c r="J155" t="s">
        <v>22</v>
      </c>
      <c r="K155">
        <v>51</v>
      </c>
      <c r="L155" s="7">
        <v>84</v>
      </c>
      <c r="M155">
        <v>3</v>
      </c>
      <c r="N155">
        <v>6</v>
      </c>
      <c r="O155">
        <v>31</v>
      </c>
      <c r="P155" t="str">
        <f t="shared" si="4"/>
        <v>October</v>
      </c>
      <c r="Q155" t="str">
        <f t="shared" si="5"/>
        <v>Friday</v>
      </c>
      <c r="R155" t="s">
        <v>71</v>
      </c>
    </row>
    <row r="156" spans="1:18">
      <c r="A156">
        <v>2022</v>
      </c>
      <c r="B156" t="s">
        <v>50</v>
      </c>
      <c r="C156" t="s">
        <v>16</v>
      </c>
      <c r="D156" t="s">
        <v>372</v>
      </c>
      <c r="E156" s="2">
        <v>44704</v>
      </c>
      <c r="F156" s="5" t="s">
        <v>373</v>
      </c>
      <c r="G156" t="s">
        <v>19</v>
      </c>
      <c r="H156" t="s">
        <v>20</v>
      </c>
      <c r="I156" t="s">
        <v>21</v>
      </c>
      <c r="J156" t="s">
        <v>22</v>
      </c>
      <c r="K156">
        <v>29</v>
      </c>
      <c r="L156" s="7">
        <v>65</v>
      </c>
      <c r="M156">
        <v>5</v>
      </c>
      <c r="N156">
        <v>3</v>
      </c>
      <c r="O156">
        <v>13</v>
      </c>
      <c r="P156" t="str">
        <f t="shared" si="4"/>
        <v>May</v>
      </c>
      <c r="Q156" t="str">
        <f t="shared" si="5"/>
        <v>Monday</v>
      </c>
      <c r="R156" t="s">
        <v>71</v>
      </c>
    </row>
    <row r="157" spans="1:18">
      <c r="A157">
        <v>2022</v>
      </c>
      <c r="B157" t="s">
        <v>24</v>
      </c>
      <c r="C157" t="s">
        <v>16</v>
      </c>
      <c r="D157" t="s">
        <v>374</v>
      </c>
      <c r="E157" s="2">
        <v>44807</v>
      </c>
      <c r="F157" s="5" t="s">
        <v>375</v>
      </c>
      <c r="G157" t="s">
        <v>57</v>
      </c>
      <c r="H157" t="s">
        <v>28</v>
      </c>
      <c r="I157" t="s">
        <v>44</v>
      </c>
      <c r="J157" t="s">
        <v>53</v>
      </c>
      <c r="K157">
        <v>57</v>
      </c>
      <c r="L157" s="7">
        <v>45</v>
      </c>
      <c r="M157">
        <v>1</v>
      </c>
      <c r="N157">
        <v>1</v>
      </c>
      <c r="O157">
        <v>10</v>
      </c>
      <c r="P157" t="str">
        <f t="shared" si="4"/>
        <v>September</v>
      </c>
      <c r="Q157" t="str">
        <f t="shared" si="5"/>
        <v>Saturday</v>
      </c>
      <c r="R157" t="s">
        <v>68</v>
      </c>
    </row>
    <row r="158" spans="1:18">
      <c r="A158">
        <v>2023</v>
      </c>
      <c r="B158" t="s">
        <v>175</v>
      </c>
      <c r="C158" t="s">
        <v>32</v>
      </c>
      <c r="D158" t="s">
        <v>376</v>
      </c>
      <c r="E158" s="2">
        <v>45094</v>
      </c>
      <c r="F158" s="5" t="s">
        <v>377</v>
      </c>
      <c r="G158" t="s">
        <v>19</v>
      </c>
      <c r="H158" t="s">
        <v>28</v>
      </c>
      <c r="I158" t="s">
        <v>44</v>
      </c>
      <c r="J158" t="s">
        <v>22</v>
      </c>
      <c r="K158">
        <v>45</v>
      </c>
      <c r="L158" s="7">
        <v>53</v>
      </c>
      <c r="M158">
        <v>0</v>
      </c>
      <c r="N158">
        <v>1</v>
      </c>
      <c r="O158">
        <v>45</v>
      </c>
      <c r="P158" t="str">
        <f t="shared" si="4"/>
        <v>June</v>
      </c>
      <c r="Q158" t="str">
        <f t="shared" si="5"/>
        <v>Saturday</v>
      </c>
      <c r="R158" t="s">
        <v>37</v>
      </c>
    </row>
    <row r="159" spans="1:18">
      <c r="A159">
        <v>2024</v>
      </c>
      <c r="B159" t="s">
        <v>141</v>
      </c>
      <c r="C159" t="s">
        <v>32</v>
      </c>
      <c r="D159" t="s">
        <v>378</v>
      </c>
      <c r="E159" s="2">
        <v>45473</v>
      </c>
      <c r="F159" s="5" t="s">
        <v>379</v>
      </c>
      <c r="G159" t="s">
        <v>19</v>
      </c>
      <c r="H159" t="s">
        <v>67</v>
      </c>
      <c r="I159" t="s">
        <v>21</v>
      </c>
      <c r="J159" t="s">
        <v>53</v>
      </c>
      <c r="K159">
        <v>33</v>
      </c>
      <c r="L159" s="7">
        <v>47</v>
      </c>
      <c r="M159">
        <v>5</v>
      </c>
      <c r="N159">
        <v>4</v>
      </c>
      <c r="O159">
        <v>19</v>
      </c>
      <c r="P159" t="str">
        <f t="shared" si="4"/>
        <v>June</v>
      </c>
      <c r="Q159" t="str">
        <f t="shared" si="5"/>
        <v>Sunday</v>
      </c>
      <c r="R159" t="s">
        <v>23</v>
      </c>
    </row>
    <row r="160" spans="1:18">
      <c r="A160">
        <v>2024</v>
      </c>
      <c r="B160" t="s">
        <v>15</v>
      </c>
      <c r="C160" t="s">
        <v>32</v>
      </c>
      <c r="D160" t="s">
        <v>380</v>
      </c>
      <c r="E160" s="2">
        <v>45567</v>
      </c>
      <c r="F160" s="5" t="s">
        <v>381</v>
      </c>
      <c r="G160" t="s">
        <v>27</v>
      </c>
      <c r="H160" t="s">
        <v>20</v>
      </c>
      <c r="I160" t="s">
        <v>44</v>
      </c>
      <c r="J160" t="s">
        <v>22</v>
      </c>
      <c r="K160">
        <v>51</v>
      </c>
      <c r="L160" s="7">
        <v>62</v>
      </c>
      <c r="M160">
        <v>5</v>
      </c>
      <c r="N160">
        <v>4</v>
      </c>
      <c r="O160">
        <v>19</v>
      </c>
      <c r="P160" t="str">
        <f t="shared" si="4"/>
        <v>October</v>
      </c>
      <c r="Q160" t="str">
        <f t="shared" si="5"/>
        <v>Wednesday</v>
      </c>
      <c r="R160" t="s">
        <v>37</v>
      </c>
    </row>
    <row r="161" spans="1:18">
      <c r="A161">
        <v>2022</v>
      </c>
      <c r="B161" t="s">
        <v>77</v>
      </c>
      <c r="C161" t="s">
        <v>32</v>
      </c>
      <c r="D161" t="s">
        <v>382</v>
      </c>
      <c r="E161" s="2">
        <v>44658</v>
      </c>
      <c r="F161" s="5" t="s">
        <v>383</v>
      </c>
      <c r="G161" t="s">
        <v>27</v>
      </c>
      <c r="H161" t="s">
        <v>28</v>
      </c>
      <c r="I161" t="s">
        <v>29</v>
      </c>
      <c r="J161" t="s">
        <v>22</v>
      </c>
      <c r="K161">
        <v>34</v>
      </c>
      <c r="L161" s="7">
        <v>103</v>
      </c>
      <c r="M161">
        <v>2</v>
      </c>
      <c r="N161">
        <v>2</v>
      </c>
      <c r="O161">
        <v>25</v>
      </c>
      <c r="P161" t="str">
        <f t="shared" si="4"/>
        <v>April</v>
      </c>
      <c r="Q161" t="str">
        <f t="shared" si="5"/>
        <v>Thursday</v>
      </c>
      <c r="R161" t="s">
        <v>124</v>
      </c>
    </row>
    <row r="162" spans="1:18">
      <c r="A162">
        <v>2022</v>
      </c>
      <c r="B162" t="s">
        <v>159</v>
      </c>
      <c r="C162" t="s">
        <v>16</v>
      </c>
      <c r="D162" t="s">
        <v>384</v>
      </c>
      <c r="E162" s="2">
        <v>44904</v>
      </c>
      <c r="F162" s="5" t="s">
        <v>296</v>
      </c>
      <c r="G162" t="s">
        <v>57</v>
      </c>
      <c r="H162" t="s">
        <v>28</v>
      </c>
      <c r="I162" t="s">
        <v>29</v>
      </c>
      <c r="J162" t="s">
        <v>53</v>
      </c>
      <c r="K162">
        <v>31</v>
      </c>
      <c r="L162" s="7">
        <v>112</v>
      </c>
      <c r="M162">
        <v>0</v>
      </c>
      <c r="N162">
        <v>5</v>
      </c>
      <c r="O162">
        <v>8</v>
      </c>
      <c r="P162" t="str">
        <f t="shared" si="4"/>
        <v>December</v>
      </c>
      <c r="Q162" t="str">
        <f t="shared" si="5"/>
        <v>Friday</v>
      </c>
      <c r="R162" t="s">
        <v>30</v>
      </c>
    </row>
    <row r="163" spans="1:18">
      <c r="A163">
        <v>2022</v>
      </c>
      <c r="B163" t="s">
        <v>85</v>
      </c>
      <c r="C163" t="s">
        <v>32</v>
      </c>
      <c r="D163" t="s">
        <v>385</v>
      </c>
      <c r="E163" s="2">
        <v>44852</v>
      </c>
      <c r="F163" s="5" t="s">
        <v>386</v>
      </c>
      <c r="G163" t="s">
        <v>27</v>
      </c>
      <c r="H163" t="s">
        <v>20</v>
      </c>
      <c r="I163" t="s">
        <v>44</v>
      </c>
      <c r="J163" t="s">
        <v>53</v>
      </c>
      <c r="K163">
        <v>46</v>
      </c>
      <c r="L163" s="7">
        <v>101</v>
      </c>
      <c r="M163">
        <v>4</v>
      </c>
      <c r="N163">
        <v>4</v>
      </c>
      <c r="O163">
        <v>31</v>
      </c>
      <c r="P163" t="str">
        <f t="shared" si="4"/>
        <v>October</v>
      </c>
      <c r="Q163" t="str">
        <f t="shared" si="5"/>
        <v>Tuesday</v>
      </c>
      <c r="R163" t="s">
        <v>30</v>
      </c>
    </row>
    <row r="164" spans="1:18">
      <c r="A164">
        <v>2022</v>
      </c>
      <c r="B164" t="s">
        <v>38</v>
      </c>
      <c r="C164" t="s">
        <v>32</v>
      </c>
      <c r="D164" t="s">
        <v>387</v>
      </c>
      <c r="E164" s="2">
        <v>44699</v>
      </c>
      <c r="F164" s="5" t="s">
        <v>388</v>
      </c>
      <c r="G164" t="s">
        <v>19</v>
      </c>
      <c r="H164" t="s">
        <v>67</v>
      </c>
      <c r="I164" t="s">
        <v>29</v>
      </c>
      <c r="J164" t="s">
        <v>53</v>
      </c>
      <c r="K164">
        <v>53</v>
      </c>
      <c r="L164" s="7">
        <v>115</v>
      </c>
      <c r="M164">
        <v>3</v>
      </c>
      <c r="N164">
        <v>1</v>
      </c>
      <c r="O164">
        <v>39</v>
      </c>
      <c r="P164" t="str">
        <f t="shared" si="4"/>
        <v>May</v>
      </c>
      <c r="Q164" t="str">
        <f t="shared" si="5"/>
        <v>Wednesday</v>
      </c>
      <c r="R164" t="s">
        <v>37</v>
      </c>
    </row>
    <row r="165" spans="1:18">
      <c r="A165">
        <v>2023</v>
      </c>
      <c r="B165" t="s">
        <v>131</v>
      </c>
      <c r="C165" t="s">
        <v>16</v>
      </c>
      <c r="D165" t="s">
        <v>389</v>
      </c>
      <c r="E165" s="2">
        <v>45158</v>
      </c>
      <c r="F165" s="5" t="s">
        <v>390</v>
      </c>
      <c r="G165" t="s">
        <v>27</v>
      </c>
      <c r="H165" t="s">
        <v>28</v>
      </c>
      <c r="I165" t="s">
        <v>21</v>
      </c>
      <c r="J165" t="s">
        <v>53</v>
      </c>
      <c r="K165">
        <v>54</v>
      </c>
      <c r="L165" s="7">
        <v>101</v>
      </c>
      <c r="M165">
        <v>0</v>
      </c>
      <c r="N165">
        <v>1</v>
      </c>
      <c r="O165">
        <v>24</v>
      </c>
      <c r="P165" t="str">
        <f t="shared" si="4"/>
        <v>August</v>
      </c>
      <c r="Q165" t="str">
        <f t="shared" si="5"/>
        <v>Sunday</v>
      </c>
      <c r="R165" t="s">
        <v>68</v>
      </c>
    </row>
    <row r="166" spans="1:18">
      <c r="A166">
        <v>2022</v>
      </c>
      <c r="B166" t="s">
        <v>59</v>
      </c>
      <c r="C166" t="s">
        <v>16</v>
      </c>
      <c r="D166" t="s">
        <v>391</v>
      </c>
      <c r="E166" s="2">
        <v>44788</v>
      </c>
      <c r="F166" s="5" t="s">
        <v>392</v>
      </c>
      <c r="G166" t="s">
        <v>49</v>
      </c>
      <c r="H166" t="s">
        <v>67</v>
      </c>
      <c r="I166" t="s">
        <v>44</v>
      </c>
      <c r="J166" t="s">
        <v>53</v>
      </c>
      <c r="K166">
        <v>42</v>
      </c>
      <c r="L166" s="7">
        <v>62</v>
      </c>
      <c r="M166">
        <v>0</v>
      </c>
      <c r="N166">
        <v>5</v>
      </c>
      <c r="O166">
        <v>23</v>
      </c>
      <c r="P166" t="str">
        <f t="shared" si="4"/>
        <v>August</v>
      </c>
      <c r="Q166" t="str">
        <f t="shared" si="5"/>
        <v>Monday</v>
      </c>
      <c r="R166" t="s">
        <v>30</v>
      </c>
    </row>
    <row r="167" spans="1:18">
      <c r="A167">
        <v>2023</v>
      </c>
      <c r="B167" t="s">
        <v>159</v>
      </c>
      <c r="C167" t="s">
        <v>32</v>
      </c>
      <c r="D167" t="s">
        <v>393</v>
      </c>
      <c r="E167" s="2">
        <v>45118</v>
      </c>
      <c r="F167" s="5" t="s">
        <v>394</v>
      </c>
      <c r="G167" t="s">
        <v>19</v>
      </c>
      <c r="H167" t="s">
        <v>36</v>
      </c>
      <c r="I167" t="s">
        <v>44</v>
      </c>
      <c r="J167" t="s">
        <v>22</v>
      </c>
      <c r="K167">
        <v>60</v>
      </c>
      <c r="L167" s="7">
        <v>84</v>
      </c>
      <c r="M167">
        <v>0</v>
      </c>
      <c r="N167">
        <v>5</v>
      </c>
      <c r="O167">
        <v>25</v>
      </c>
      <c r="P167" t="str">
        <f t="shared" si="4"/>
        <v>July</v>
      </c>
      <c r="Q167" t="str">
        <f t="shared" si="5"/>
        <v>Tuesday</v>
      </c>
      <c r="R167" t="s">
        <v>105</v>
      </c>
    </row>
    <row r="168" spans="1:18">
      <c r="A168">
        <v>2025</v>
      </c>
      <c r="B168" t="s">
        <v>46</v>
      </c>
      <c r="C168" t="s">
        <v>32</v>
      </c>
      <c r="D168" t="s">
        <v>395</v>
      </c>
      <c r="E168" s="2">
        <v>45939</v>
      </c>
      <c r="F168" s="5" t="s">
        <v>396</v>
      </c>
      <c r="G168" t="s">
        <v>27</v>
      </c>
      <c r="H168" t="s">
        <v>36</v>
      </c>
      <c r="I168" t="s">
        <v>21</v>
      </c>
      <c r="J168" t="s">
        <v>53</v>
      </c>
      <c r="K168">
        <v>41</v>
      </c>
      <c r="L168" s="7">
        <v>97</v>
      </c>
      <c r="M168">
        <v>0</v>
      </c>
      <c r="N168">
        <v>2</v>
      </c>
      <c r="O168">
        <v>12</v>
      </c>
      <c r="P168" t="str">
        <f t="shared" si="4"/>
        <v>October</v>
      </c>
      <c r="Q168" t="str">
        <f t="shared" si="5"/>
        <v>Thursday</v>
      </c>
      <c r="R168" t="s">
        <v>30</v>
      </c>
    </row>
    <row r="169" spans="1:18">
      <c r="A169">
        <v>2024</v>
      </c>
      <c r="B169" t="s">
        <v>41</v>
      </c>
      <c r="C169" t="s">
        <v>16</v>
      </c>
      <c r="D169" t="s">
        <v>397</v>
      </c>
      <c r="E169" s="2">
        <v>45597</v>
      </c>
      <c r="F169" s="5" t="s">
        <v>398</v>
      </c>
      <c r="G169" t="s">
        <v>35</v>
      </c>
      <c r="H169" t="s">
        <v>67</v>
      </c>
      <c r="I169" t="s">
        <v>44</v>
      </c>
      <c r="J169" t="s">
        <v>53</v>
      </c>
      <c r="K169">
        <v>52</v>
      </c>
      <c r="L169" s="7">
        <v>107</v>
      </c>
      <c r="M169">
        <v>5</v>
      </c>
      <c r="N169">
        <v>2</v>
      </c>
      <c r="O169">
        <v>30</v>
      </c>
      <c r="P169" t="str">
        <f t="shared" si="4"/>
        <v>November</v>
      </c>
      <c r="Q169" t="str">
        <f t="shared" si="5"/>
        <v>Friday</v>
      </c>
      <c r="R169" t="s">
        <v>30</v>
      </c>
    </row>
    <row r="170" spans="1:18">
      <c r="A170">
        <v>2022</v>
      </c>
      <c r="B170" t="s">
        <v>113</v>
      </c>
      <c r="C170" t="s">
        <v>32</v>
      </c>
      <c r="D170" t="s">
        <v>399</v>
      </c>
      <c r="E170" s="2">
        <v>44862</v>
      </c>
      <c r="F170" s="5" t="s">
        <v>354</v>
      </c>
      <c r="G170" t="s">
        <v>19</v>
      </c>
      <c r="H170" t="s">
        <v>28</v>
      </c>
      <c r="I170" t="s">
        <v>44</v>
      </c>
      <c r="J170" t="s">
        <v>53</v>
      </c>
      <c r="K170">
        <v>59</v>
      </c>
      <c r="L170" s="7">
        <v>102</v>
      </c>
      <c r="M170">
        <v>2</v>
      </c>
      <c r="N170">
        <v>5</v>
      </c>
      <c r="O170">
        <v>39</v>
      </c>
      <c r="P170" t="str">
        <f t="shared" si="4"/>
        <v>October</v>
      </c>
      <c r="Q170" t="str">
        <f t="shared" si="5"/>
        <v>Friday</v>
      </c>
      <c r="R170" t="s">
        <v>14</v>
      </c>
    </row>
    <row r="171" spans="1:18">
      <c r="A171">
        <v>2023</v>
      </c>
      <c r="B171" t="s">
        <v>208</v>
      </c>
      <c r="C171" t="s">
        <v>16</v>
      </c>
      <c r="D171" t="s">
        <v>400</v>
      </c>
      <c r="E171" s="2">
        <v>45096</v>
      </c>
      <c r="F171" s="5" t="s">
        <v>171</v>
      </c>
      <c r="G171" t="s">
        <v>35</v>
      </c>
      <c r="H171" t="s">
        <v>28</v>
      </c>
      <c r="I171" t="s">
        <v>29</v>
      </c>
      <c r="J171" t="s">
        <v>53</v>
      </c>
      <c r="K171">
        <v>27</v>
      </c>
      <c r="L171" s="7">
        <v>59</v>
      </c>
      <c r="M171">
        <v>1</v>
      </c>
      <c r="N171">
        <v>5</v>
      </c>
      <c r="O171">
        <v>10</v>
      </c>
      <c r="P171" t="str">
        <f t="shared" si="4"/>
        <v>June</v>
      </c>
      <c r="Q171" t="str">
        <f t="shared" si="5"/>
        <v>Monday</v>
      </c>
      <c r="R171" t="s">
        <v>58</v>
      </c>
    </row>
    <row r="172" spans="1:18">
      <c r="A172">
        <v>2024</v>
      </c>
      <c r="B172" t="s">
        <v>147</v>
      </c>
      <c r="C172" t="s">
        <v>16</v>
      </c>
      <c r="D172" t="s">
        <v>401</v>
      </c>
      <c r="E172" s="2">
        <v>45493</v>
      </c>
      <c r="F172" s="5" t="s">
        <v>402</v>
      </c>
      <c r="G172" t="s">
        <v>19</v>
      </c>
      <c r="H172" t="s">
        <v>36</v>
      </c>
      <c r="I172" t="s">
        <v>44</v>
      </c>
      <c r="J172" t="s">
        <v>53</v>
      </c>
      <c r="K172">
        <v>19</v>
      </c>
      <c r="L172" s="7">
        <v>71</v>
      </c>
      <c r="M172">
        <v>2</v>
      </c>
      <c r="N172">
        <v>1</v>
      </c>
      <c r="O172">
        <v>37</v>
      </c>
      <c r="P172" t="str">
        <f t="shared" si="4"/>
        <v>July</v>
      </c>
      <c r="Q172" t="str">
        <f t="shared" si="5"/>
        <v>Saturday</v>
      </c>
      <c r="R172" t="s">
        <v>23</v>
      </c>
    </row>
    <row r="173" spans="1:18">
      <c r="A173">
        <v>2023</v>
      </c>
      <c r="B173" t="s">
        <v>41</v>
      </c>
      <c r="C173" t="s">
        <v>16</v>
      </c>
      <c r="D173" t="s">
        <v>403</v>
      </c>
      <c r="E173" s="2">
        <v>45224</v>
      </c>
      <c r="F173" s="5" t="s">
        <v>402</v>
      </c>
      <c r="G173" t="s">
        <v>57</v>
      </c>
      <c r="H173" t="s">
        <v>20</v>
      </c>
      <c r="I173" t="s">
        <v>21</v>
      </c>
      <c r="J173" t="s">
        <v>53</v>
      </c>
      <c r="K173">
        <v>26</v>
      </c>
      <c r="L173" s="7">
        <v>59</v>
      </c>
      <c r="M173">
        <v>0</v>
      </c>
      <c r="N173">
        <v>3</v>
      </c>
      <c r="O173">
        <v>27</v>
      </c>
      <c r="P173" t="str">
        <f t="shared" si="4"/>
        <v>October</v>
      </c>
      <c r="Q173" t="str">
        <f t="shared" si="5"/>
        <v>Wednesday</v>
      </c>
      <c r="R173" t="s">
        <v>30</v>
      </c>
    </row>
    <row r="174" spans="1:18">
      <c r="A174">
        <v>2025</v>
      </c>
      <c r="B174" t="s">
        <v>31</v>
      </c>
      <c r="C174" t="s">
        <v>32</v>
      </c>
      <c r="D174" t="s">
        <v>404</v>
      </c>
      <c r="E174" s="2">
        <v>45794</v>
      </c>
      <c r="F174" s="5" t="s">
        <v>220</v>
      </c>
      <c r="G174" t="s">
        <v>57</v>
      </c>
      <c r="H174" t="s">
        <v>67</v>
      </c>
      <c r="I174" t="s">
        <v>29</v>
      </c>
      <c r="J174" t="s">
        <v>53</v>
      </c>
      <c r="K174">
        <v>65</v>
      </c>
      <c r="L174" s="7">
        <v>109</v>
      </c>
      <c r="M174">
        <v>4</v>
      </c>
      <c r="N174">
        <v>6</v>
      </c>
      <c r="O174">
        <v>36</v>
      </c>
      <c r="P174" t="str">
        <f t="shared" si="4"/>
        <v>May</v>
      </c>
      <c r="Q174" t="str">
        <f t="shared" si="5"/>
        <v>Saturday</v>
      </c>
      <c r="R174" t="s">
        <v>45</v>
      </c>
    </row>
    <row r="175" spans="1:18">
      <c r="A175">
        <v>2022</v>
      </c>
      <c r="B175" t="s">
        <v>72</v>
      </c>
      <c r="C175" t="s">
        <v>32</v>
      </c>
      <c r="D175" t="s">
        <v>405</v>
      </c>
      <c r="E175" s="2">
        <v>44907</v>
      </c>
      <c r="F175" s="5" t="s">
        <v>406</v>
      </c>
      <c r="G175" t="s">
        <v>49</v>
      </c>
      <c r="H175" t="s">
        <v>20</v>
      </c>
      <c r="I175" t="s">
        <v>44</v>
      </c>
      <c r="J175" t="s">
        <v>22</v>
      </c>
      <c r="K175">
        <v>55</v>
      </c>
      <c r="L175" s="7">
        <v>104</v>
      </c>
      <c r="M175">
        <v>4</v>
      </c>
      <c r="N175">
        <v>3</v>
      </c>
      <c r="O175">
        <v>14</v>
      </c>
      <c r="P175" t="str">
        <f t="shared" si="4"/>
        <v>December</v>
      </c>
      <c r="Q175" t="str">
        <f t="shared" si="5"/>
        <v>Monday</v>
      </c>
      <c r="R175" t="s">
        <v>37</v>
      </c>
    </row>
    <row r="176" spans="1:18">
      <c r="A176">
        <v>2024</v>
      </c>
      <c r="B176" t="s">
        <v>24</v>
      </c>
      <c r="C176" t="s">
        <v>32</v>
      </c>
      <c r="D176" t="s">
        <v>407</v>
      </c>
      <c r="E176" s="2">
        <v>45372</v>
      </c>
      <c r="F176" s="5" t="s">
        <v>408</v>
      </c>
      <c r="G176" t="s">
        <v>57</v>
      </c>
      <c r="H176" t="s">
        <v>36</v>
      </c>
      <c r="I176" t="s">
        <v>21</v>
      </c>
      <c r="J176" t="s">
        <v>53</v>
      </c>
      <c r="K176">
        <v>34</v>
      </c>
      <c r="L176" s="7">
        <v>64</v>
      </c>
      <c r="M176">
        <v>5</v>
      </c>
      <c r="N176">
        <v>3</v>
      </c>
      <c r="O176">
        <v>30</v>
      </c>
      <c r="P176" t="str">
        <f t="shared" si="4"/>
        <v>March</v>
      </c>
      <c r="Q176" t="str">
        <f t="shared" si="5"/>
        <v>Thursday</v>
      </c>
      <c r="R176" t="s">
        <v>124</v>
      </c>
    </row>
    <row r="177" spans="1:18">
      <c r="A177">
        <v>2025</v>
      </c>
      <c r="B177" t="s">
        <v>15</v>
      </c>
      <c r="C177" t="s">
        <v>32</v>
      </c>
      <c r="D177" t="s">
        <v>409</v>
      </c>
      <c r="E177" s="2">
        <v>45773</v>
      </c>
      <c r="F177" s="5" t="s">
        <v>331</v>
      </c>
      <c r="G177" t="s">
        <v>19</v>
      </c>
      <c r="H177" t="s">
        <v>36</v>
      </c>
      <c r="I177" t="s">
        <v>21</v>
      </c>
      <c r="J177" t="s">
        <v>53</v>
      </c>
      <c r="K177">
        <v>32</v>
      </c>
      <c r="L177" s="7">
        <v>82</v>
      </c>
      <c r="M177">
        <v>3</v>
      </c>
      <c r="N177">
        <v>6</v>
      </c>
      <c r="O177">
        <v>16</v>
      </c>
      <c r="P177" t="str">
        <f t="shared" si="4"/>
        <v>April</v>
      </c>
      <c r="Q177" t="str">
        <f t="shared" si="5"/>
        <v>Saturday</v>
      </c>
      <c r="R177" t="s">
        <v>58</v>
      </c>
    </row>
    <row r="178" spans="1:18">
      <c r="A178">
        <v>2023</v>
      </c>
      <c r="B178" t="s">
        <v>54</v>
      </c>
      <c r="C178" t="s">
        <v>16</v>
      </c>
      <c r="D178" t="s">
        <v>410</v>
      </c>
      <c r="E178" s="2">
        <v>45180</v>
      </c>
      <c r="F178" s="5" t="s">
        <v>411</v>
      </c>
      <c r="G178" t="s">
        <v>49</v>
      </c>
      <c r="H178" t="s">
        <v>20</v>
      </c>
      <c r="I178" t="s">
        <v>21</v>
      </c>
      <c r="J178" t="s">
        <v>22</v>
      </c>
      <c r="K178">
        <v>40</v>
      </c>
      <c r="L178" s="7">
        <v>56</v>
      </c>
      <c r="M178">
        <v>4</v>
      </c>
      <c r="N178">
        <v>6</v>
      </c>
      <c r="O178">
        <v>42</v>
      </c>
      <c r="P178" t="str">
        <f t="shared" si="4"/>
        <v>September</v>
      </c>
      <c r="Q178" t="str">
        <f t="shared" si="5"/>
        <v>Monday</v>
      </c>
      <c r="R178" t="s">
        <v>58</v>
      </c>
    </row>
    <row r="179" spans="1:18">
      <c r="A179">
        <v>2024</v>
      </c>
      <c r="B179" t="s">
        <v>208</v>
      </c>
      <c r="C179" t="s">
        <v>16</v>
      </c>
      <c r="D179" t="s">
        <v>412</v>
      </c>
      <c r="E179" s="2">
        <v>45352</v>
      </c>
      <c r="F179" s="5" t="s">
        <v>413</v>
      </c>
      <c r="G179" t="s">
        <v>19</v>
      </c>
      <c r="H179" t="s">
        <v>28</v>
      </c>
      <c r="I179" t="s">
        <v>44</v>
      </c>
      <c r="J179" t="s">
        <v>22</v>
      </c>
      <c r="K179">
        <v>52</v>
      </c>
      <c r="L179" s="7">
        <v>56</v>
      </c>
      <c r="M179">
        <v>0</v>
      </c>
      <c r="N179">
        <v>5</v>
      </c>
      <c r="O179">
        <v>28</v>
      </c>
      <c r="P179" t="str">
        <f t="shared" si="4"/>
        <v>March</v>
      </c>
      <c r="Q179" t="str">
        <f t="shared" si="5"/>
        <v>Friday</v>
      </c>
      <c r="R179" t="s">
        <v>30</v>
      </c>
    </row>
    <row r="180" spans="1:18">
      <c r="A180">
        <v>2024</v>
      </c>
      <c r="B180" t="s">
        <v>38</v>
      </c>
      <c r="C180" t="s">
        <v>16</v>
      </c>
      <c r="D180" t="s">
        <v>414</v>
      </c>
      <c r="E180" s="2">
        <v>45541</v>
      </c>
      <c r="F180" s="5" t="s">
        <v>415</v>
      </c>
      <c r="G180" t="s">
        <v>57</v>
      </c>
      <c r="H180" t="s">
        <v>28</v>
      </c>
      <c r="I180" t="s">
        <v>21</v>
      </c>
      <c r="J180" t="s">
        <v>22</v>
      </c>
      <c r="K180">
        <v>20</v>
      </c>
      <c r="L180" s="7">
        <v>40</v>
      </c>
      <c r="M180">
        <v>5</v>
      </c>
      <c r="N180">
        <v>1</v>
      </c>
      <c r="O180">
        <v>31</v>
      </c>
      <c r="P180" t="str">
        <f t="shared" si="4"/>
        <v>September</v>
      </c>
      <c r="Q180" t="str">
        <f t="shared" si="5"/>
        <v>Friday</v>
      </c>
      <c r="R180" t="s">
        <v>58</v>
      </c>
    </row>
    <row r="181" spans="1:18">
      <c r="A181">
        <v>2024</v>
      </c>
      <c r="B181" t="s">
        <v>277</v>
      </c>
      <c r="C181" t="s">
        <v>32</v>
      </c>
      <c r="D181" t="s">
        <v>416</v>
      </c>
      <c r="E181" s="2">
        <v>45537</v>
      </c>
      <c r="F181" s="5" t="s">
        <v>417</v>
      </c>
      <c r="G181" t="s">
        <v>19</v>
      </c>
      <c r="H181" t="s">
        <v>67</v>
      </c>
      <c r="I181" t="s">
        <v>29</v>
      </c>
      <c r="J181" t="s">
        <v>53</v>
      </c>
      <c r="K181">
        <v>62</v>
      </c>
      <c r="L181" s="7">
        <v>84</v>
      </c>
      <c r="M181">
        <v>0</v>
      </c>
      <c r="N181">
        <v>6</v>
      </c>
      <c r="O181">
        <v>40</v>
      </c>
      <c r="P181" t="str">
        <f t="shared" si="4"/>
        <v>September</v>
      </c>
      <c r="Q181" t="str">
        <f t="shared" si="5"/>
        <v>Monday</v>
      </c>
      <c r="R181" t="s">
        <v>105</v>
      </c>
    </row>
    <row r="182" spans="1:18">
      <c r="A182">
        <v>2024</v>
      </c>
      <c r="B182" t="s">
        <v>50</v>
      </c>
      <c r="C182" t="s">
        <v>16</v>
      </c>
      <c r="D182" t="s">
        <v>418</v>
      </c>
      <c r="E182" s="2">
        <v>45375</v>
      </c>
      <c r="F182" s="5" t="s">
        <v>419</v>
      </c>
      <c r="G182" t="s">
        <v>19</v>
      </c>
      <c r="H182" t="s">
        <v>36</v>
      </c>
      <c r="I182" t="s">
        <v>21</v>
      </c>
      <c r="J182" t="s">
        <v>53</v>
      </c>
      <c r="K182">
        <v>42</v>
      </c>
      <c r="L182" s="7">
        <v>91</v>
      </c>
      <c r="M182">
        <v>1</v>
      </c>
      <c r="N182">
        <v>4</v>
      </c>
      <c r="O182">
        <v>24</v>
      </c>
      <c r="P182" t="str">
        <f t="shared" si="4"/>
        <v>March</v>
      </c>
      <c r="Q182" t="str">
        <f t="shared" si="5"/>
        <v>Sunday</v>
      </c>
      <c r="R182" t="s">
        <v>23</v>
      </c>
    </row>
    <row r="183" spans="1:18">
      <c r="A183">
        <v>2022</v>
      </c>
      <c r="B183" t="s">
        <v>172</v>
      </c>
      <c r="C183" t="s">
        <v>16</v>
      </c>
      <c r="D183" t="s">
        <v>420</v>
      </c>
      <c r="E183" s="2">
        <v>44828</v>
      </c>
      <c r="F183" s="5" t="s">
        <v>421</v>
      </c>
      <c r="G183" t="s">
        <v>35</v>
      </c>
      <c r="H183" t="s">
        <v>36</v>
      </c>
      <c r="I183" t="s">
        <v>44</v>
      </c>
      <c r="J183" t="s">
        <v>22</v>
      </c>
      <c r="K183">
        <v>53</v>
      </c>
      <c r="L183" s="7">
        <v>94</v>
      </c>
      <c r="M183">
        <v>5</v>
      </c>
      <c r="N183">
        <v>1</v>
      </c>
      <c r="O183">
        <v>35</v>
      </c>
      <c r="P183" t="str">
        <f t="shared" si="4"/>
        <v>September</v>
      </c>
      <c r="Q183" t="str">
        <f t="shared" si="5"/>
        <v>Saturday</v>
      </c>
      <c r="R183" t="s">
        <v>45</v>
      </c>
    </row>
    <row r="184" spans="1:18">
      <c r="A184">
        <v>2024</v>
      </c>
      <c r="B184" t="s">
        <v>156</v>
      </c>
      <c r="C184" t="s">
        <v>16</v>
      </c>
      <c r="D184" t="s">
        <v>422</v>
      </c>
      <c r="E184" s="2">
        <v>45581</v>
      </c>
      <c r="F184" s="5" t="s">
        <v>423</v>
      </c>
      <c r="G184" t="s">
        <v>35</v>
      </c>
      <c r="H184" t="s">
        <v>20</v>
      </c>
      <c r="I184" t="s">
        <v>21</v>
      </c>
      <c r="J184" t="s">
        <v>53</v>
      </c>
      <c r="K184">
        <v>55</v>
      </c>
      <c r="L184" s="7">
        <v>67</v>
      </c>
      <c r="M184">
        <v>2</v>
      </c>
      <c r="N184">
        <v>1</v>
      </c>
      <c r="O184">
        <v>42</v>
      </c>
      <c r="P184" t="str">
        <f t="shared" si="4"/>
        <v>October</v>
      </c>
      <c r="Q184" t="str">
        <f t="shared" si="5"/>
        <v>Wednesday</v>
      </c>
      <c r="R184" t="s">
        <v>30</v>
      </c>
    </row>
    <row r="185" spans="1:18">
      <c r="A185">
        <v>2024</v>
      </c>
      <c r="B185" t="s">
        <v>100</v>
      </c>
      <c r="C185" t="s">
        <v>16</v>
      </c>
      <c r="D185" t="s">
        <v>424</v>
      </c>
      <c r="E185" s="2">
        <v>45415</v>
      </c>
      <c r="F185" s="5" t="s">
        <v>425</v>
      </c>
      <c r="G185" t="s">
        <v>35</v>
      </c>
      <c r="H185" t="s">
        <v>20</v>
      </c>
      <c r="I185" t="s">
        <v>29</v>
      </c>
      <c r="J185" t="s">
        <v>53</v>
      </c>
      <c r="K185">
        <v>54</v>
      </c>
      <c r="L185" s="7">
        <v>87</v>
      </c>
      <c r="M185">
        <v>3</v>
      </c>
      <c r="N185">
        <v>6</v>
      </c>
      <c r="O185">
        <v>21</v>
      </c>
      <c r="P185" t="str">
        <f t="shared" si="4"/>
        <v>May</v>
      </c>
      <c r="Q185" t="str">
        <f t="shared" si="5"/>
        <v>Friday</v>
      </c>
      <c r="R185" t="s">
        <v>105</v>
      </c>
    </row>
    <row r="186" spans="1:18">
      <c r="A186">
        <v>2025</v>
      </c>
      <c r="B186" t="s">
        <v>38</v>
      </c>
      <c r="C186" t="s">
        <v>32</v>
      </c>
      <c r="D186" t="s">
        <v>426</v>
      </c>
      <c r="E186" s="2">
        <v>45679</v>
      </c>
      <c r="F186" s="5" t="s">
        <v>195</v>
      </c>
      <c r="G186" t="s">
        <v>49</v>
      </c>
      <c r="H186" t="s">
        <v>28</v>
      </c>
      <c r="I186" t="s">
        <v>44</v>
      </c>
      <c r="J186" t="s">
        <v>53</v>
      </c>
      <c r="K186">
        <v>47</v>
      </c>
      <c r="L186" s="7">
        <v>117</v>
      </c>
      <c r="M186">
        <v>5</v>
      </c>
      <c r="N186">
        <v>4</v>
      </c>
      <c r="O186">
        <v>29</v>
      </c>
      <c r="P186" t="str">
        <f t="shared" si="4"/>
        <v>January</v>
      </c>
      <c r="Q186" t="str">
        <f t="shared" si="5"/>
        <v>Wednesday</v>
      </c>
      <c r="R186" t="s">
        <v>30</v>
      </c>
    </row>
    <row r="187" spans="1:18">
      <c r="A187">
        <v>2025</v>
      </c>
      <c r="B187" t="s">
        <v>88</v>
      </c>
      <c r="C187" t="s">
        <v>32</v>
      </c>
      <c r="D187" t="s">
        <v>427</v>
      </c>
      <c r="E187" s="2">
        <v>45821</v>
      </c>
      <c r="F187" s="5" t="s">
        <v>428</v>
      </c>
      <c r="G187" t="s">
        <v>49</v>
      </c>
      <c r="H187" t="s">
        <v>67</v>
      </c>
      <c r="I187" t="s">
        <v>44</v>
      </c>
      <c r="J187" t="s">
        <v>22</v>
      </c>
      <c r="K187">
        <v>45</v>
      </c>
      <c r="L187" s="7">
        <v>51</v>
      </c>
      <c r="M187">
        <v>4</v>
      </c>
      <c r="N187">
        <v>2</v>
      </c>
      <c r="O187">
        <v>36</v>
      </c>
      <c r="P187" t="str">
        <f t="shared" si="4"/>
        <v>June</v>
      </c>
      <c r="Q187" t="str">
        <f t="shared" si="5"/>
        <v>Friday</v>
      </c>
      <c r="R187" t="s">
        <v>30</v>
      </c>
    </row>
    <row r="188" spans="1:18">
      <c r="A188">
        <v>2024</v>
      </c>
      <c r="B188" t="s">
        <v>113</v>
      </c>
      <c r="C188" t="s">
        <v>16</v>
      </c>
      <c r="D188" t="s">
        <v>429</v>
      </c>
      <c r="E188" s="2">
        <v>45590</v>
      </c>
      <c r="F188" s="5" t="s">
        <v>430</v>
      </c>
      <c r="G188" t="s">
        <v>35</v>
      </c>
      <c r="H188" t="s">
        <v>36</v>
      </c>
      <c r="I188" t="s">
        <v>44</v>
      </c>
      <c r="J188" t="s">
        <v>53</v>
      </c>
      <c r="K188">
        <v>26</v>
      </c>
      <c r="L188" s="7">
        <v>92</v>
      </c>
      <c r="M188">
        <v>1</v>
      </c>
      <c r="N188">
        <v>5</v>
      </c>
      <c r="O188">
        <v>20</v>
      </c>
      <c r="P188" t="str">
        <f t="shared" si="4"/>
        <v>October</v>
      </c>
      <c r="Q188" t="str">
        <f t="shared" si="5"/>
        <v>Friday</v>
      </c>
      <c r="R188" t="s">
        <v>37</v>
      </c>
    </row>
    <row r="189" spans="1:18">
      <c r="A189">
        <v>2022</v>
      </c>
      <c r="B189" t="s">
        <v>113</v>
      </c>
      <c r="C189" t="s">
        <v>16</v>
      </c>
      <c r="D189" t="s">
        <v>431</v>
      </c>
      <c r="E189" s="2">
        <v>44697</v>
      </c>
      <c r="F189" s="5" t="s">
        <v>432</v>
      </c>
      <c r="G189" t="s">
        <v>27</v>
      </c>
      <c r="H189" t="s">
        <v>28</v>
      </c>
      <c r="I189" t="s">
        <v>29</v>
      </c>
      <c r="J189" t="s">
        <v>22</v>
      </c>
      <c r="K189">
        <v>48</v>
      </c>
      <c r="L189" s="7">
        <v>60</v>
      </c>
      <c r="M189">
        <v>4</v>
      </c>
      <c r="N189">
        <v>6</v>
      </c>
      <c r="O189">
        <v>16</v>
      </c>
      <c r="P189" t="str">
        <f t="shared" si="4"/>
        <v>May</v>
      </c>
      <c r="Q189" t="str">
        <f t="shared" si="5"/>
        <v>Monday</v>
      </c>
      <c r="R189" t="s">
        <v>30</v>
      </c>
    </row>
    <row r="190" spans="1:18">
      <c r="A190">
        <v>2025</v>
      </c>
      <c r="B190" t="s">
        <v>15</v>
      </c>
      <c r="C190" t="s">
        <v>16</v>
      </c>
      <c r="D190" t="s">
        <v>433</v>
      </c>
      <c r="E190" s="2">
        <v>45901</v>
      </c>
      <c r="F190" s="5" t="s">
        <v>434</v>
      </c>
      <c r="G190" t="s">
        <v>27</v>
      </c>
      <c r="H190" t="s">
        <v>20</v>
      </c>
      <c r="I190" t="s">
        <v>44</v>
      </c>
      <c r="J190" t="s">
        <v>22</v>
      </c>
      <c r="K190">
        <v>35</v>
      </c>
      <c r="L190" s="7">
        <v>50</v>
      </c>
      <c r="M190">
        <v>2</v>
      </c>
      <c r="N190">
        <v>1</v>
      </c>
      <c r="O190">
        <v>27</v>
      </c>
      <c r="P190" t="str">
        <f t="shared" si="4"/>
        <v>September</v>
      </c>
      <c r="Q190" t="str">
        <f t="shared" si="5"/>
        <v>Monday</v>
      </c>
      <c r="R190" t="s">
        <v>45</v>
      </c>
    </row>
    <row r="191" spans="1:18">
      <c r="A191">
        <v>2022</v>
      </c>
      <c r="B191" t="s">
        <v>62</v>
      </c>
      <c r="C191" t="s">
        <v>32</v>
      </c>
      <c r="D191" t="s">
        <v>435</v>
      </c>
      <c r="E191" s="2">
        <v>44636</v>
      </c>
      <c r="F191" s="5" t="s">
        <v>436</v>
      </c>
      <c r="G191" t="s">
        <v>57</v>
      </c>
      <c r="H191" t="s">
        <v>36</v>
      </c>
      <c r="I191" t="s">
        <v>29</v>
      </c>
      <c r="J191" t="s">
        <v>53</v>
      </c>
      <c r="K191">
        <v>56</v>
      </c>
      <c r="L191" s="7">
        <v>55</v>
      </c>
      <c r="M191">
        <v>4</v>
      </c>
      <c r="N191">
        <v>0</v>
      </c>
      <c r="O191">
        <v>11</v>
      </c>
      <c r="P191" t="str">
        <f t="shared" si="4"/>
        <v>March</v>
      </c>
      <c r="Q191" t="str">
        <f t="shared" si="5"/>
        <v>Wednesday</v>
      </c>
      <c r="R191" t="s">
        <v>124</v>
      </c>
    </row>
    <row r="192" spans="1:18">
      <c r="A192">
        <v>2025</v>
      </c>
      <c r="B192" t="s">
        <v>41</v>
      </c>
      <c r="C192" t="s">
        <v>32</v>
      </c>
      <c r="D192" t="s">
        <v>437</v>
      </c>
      <c r="E192" s="2">
        <v>45822</v>
      </c>
      <c r="F192" s="5" t="s">
        <v>438</v>
      </c>
      <c r="G192" t="s">
        <v>57</v>
      </c>
      <c r="H192" t="s">
        <v>36</v>
      </c>
      <c r="I192" t="s">
        <v>21</v>
      </c>
      <c r="J192" t="s">
        <v>53</v>
      </c>
      <c r="K192">
        <v>41</v>
      </c>
      <c r="L192" s="7">
        <v>46</v>
      </c>
      <c r="M192">
        <v>0</v>
      </c>
      <c r="N192">
        <v>0</v>
      </c>
      <c r="O192">
        <v>20</v>
      </c>
      <c r="P192" t="str">
        <f t="shared" si="4"/>
        <v>June</v>
      </c>
      <c r="Q192" t="str">
        <f t="shared" si="5"/>
        <v>Saturday</v>
      </c>
      <c r="R192" t="s">
        <v>58</v>
      </c>
    </row>
    <row r="193" spans="1:18">
      <c r="A193">
        <v>2022</v>
      </c>
      <c r="B193" t="s">
        <v>85</v>
      </c>
      <c r="C193" t="s">
        <v>32</v>
      </c>
      <c r="D193" t="s">
        <v>439</v>
      </c>
      <c r="E193" s="2">
        <v>44807</v>
      </c>
      <c r="F193" s="5" t="s">
        <v>440</v>
      </c>
      <c r="G193" t="s">
        <v>57</v>
      </c>
      <c r="H193" t="s">
        <v>67</v>
      </c>
      <c r="I193" t="s">
        <v>44</v>
      </c>
      <c r="J193" t="s">
        <v>53</v>
      </c>
      <c r="K193">
        <v>55</v>
      </c>
      <c r="L193" s="7">
        <v>77</v>
      </c>
      <c r="M193">
        <v>0</v>
      </c>
      <c r="N193">
        <v>4</v>
      </c>
      <c r="O193">
        <v>9</v>
      </c>
      <c r="P193" t="str">
        <f t="shared" si="4"/>
        <v>September</v>
      </c>
      <c r="Q193" t="str">
        <f t="shared" si="5"/>
        <v>Saturday</v>
      </c>
      <c r="R193" t="s">
        <v>71</v>
      </c>
    </row>
    <row r="194" spans="1:18">
      <c r="A194">
        <v>2025</v>
      </c>
      <c r="B194" t="s">
        <v>159</v>
      </c>
      <c r="C194" t="s">
        <v>32</v>
      </c>
      <c r="D194" t="s">
        <v>441</v>
      </c>
      <c r="E194" s="2">
        <v>46012</v>
      </c>
      <c r="F194" s="5" t="s">
        <v>442</v>
      </c>
      <c r="G194" t="s">
        <v>19</v>
      </c>
      <c r="H194" t="s">
        <v>28</v>
      </c>
      <c r="I194" t="s">
        <v>21</v>
      </c>
      <c r="J194" t="s">
        <v>22</v>
      </c>
      <c r="K194">
        <v>58</v>
      </c>
      <c r="L194" s="7">
        <v>107</v>
      </c>
      <c r="M194">
        <v>0</v>
      </c>
      <c r="N194">
        <v>5</v>
      </c>
      <c r="O194">
        <v>45</v>
      </c>
      <c r="P194" t="str">
        <f t="shared" si="4"/>
        <v>December</v>
      </c>
      <c r="Q194" t="str">
        <f t="shared" si="5"/>
        <v>Sunday</v>
      </c>
      <c r="R194" t="s">
        <v>30</v>
      </c>
    </row>
    <row r="195" spans="1:18">
      <c r="A195">
        <v>2025</v>
      </c>
      <c r="B195" t="s">
        <v>50</v>
      </c>
      <c r="C195" t="s">
        <v>32</v>
      </c>
      <c r="D195" t="s">
        <v>443</v>
      </c>
      <c r="E195" s="2">
        <v>45868</v>
      </c>
      <c r="F195" s="5" t="s">
        <v>444</v>
      </c>
      <c r="G195" t="s">
        <v>27</v>
      </c>
      <c r="H195" t="s">
        <v>36</v>
      </c>
      <c r="I195" t="s">
        <v>44</v>
      </c>
      <c r="J195" t="s">
        <v>53</v>
      </c>
      <c r="K195">
        <v>36</v>
      </c>
      <c r="L195" s="7">
        <v>99</v>
      </c>
      <c r="M195">
        <v>1</v>
      </c>
      <c r="N195">
        <v>3</v>
      </c>
      <c r="O195">
        <v>14</v>
      </c>
      <c r="P195" t="str">
        <f t="shared" ref="P195:P258" si="6">TEXT(E195,"mmmm")</f>
        <v>July</v>
      </c>
      <c r="Q195" t="str">
        <f t="shared" ref="Q195:Q258" si="7">TEXT(E195,"dddd")</f>
        <v>Wednesday</v>
      </c>
      <c r="R195" t="s">
        <v>68</v>
      </c>
    </row>
    <row r="196" spans="1:18">
      <c r="A196">
        <v>2024</v>
      </c>
      <c r="B196" t="s">
        <v>62</v>
      </c>
      <c r="C196" t="s">
        <v>16</v>
      </c>
      <c r="D196" t="s">
        <v>445</v>
      </c>
      <c r="E196" s="2">
        <v>45552</v>
      </c>
      <c r="F196" s="5" t="s">
        <v>446</v>
      </c>
      <c r="G196" t="s">
        <v>19</v>
      </c>
      <c r="H196" t="s">
        <v>67</v>
      </c>
      <c r="I196" t="s">
        <v>29</v>
      </c>
      <c r="J196" t="s">
        <v>53</v>
      </c>
      <c r="K196">
        <v>35</v>
      </c>
      <c r="L196" s="7">
        <v>53</v>
      </c>
      <c r="M196">
        <v>5</v>
      </c>
      <c r="N196">
        <v>1</v>
      </c>
      <c r="O196">
        <v>45</v>
      </c>
      <c r="P196" t="str">
        <f t="shared" si="6"/>
        <v>September</v>
      </c>
      <c r="Q196" t="str">
        <f t="shared" si="7"/>
        <v>Tuesday</v>
      </c>
      <c r="R196" t="s">
        <v>37</v>
      </c>
    </row>
    <row r="197" spans="1:18">
      <c r="A197">
        <v>2022</v>
      </c>
      <c r="B197" t="s">
        <v>147</v>
      </c>
      <c r="C197" t="s">
        <v>32</v>
      </c>
      <c r="D197" t="s">
        <v>447</v>
      </c>
      <c r="E197" s="2">
        <v>44792</v>
      </c>
      <c r="F197" s="5" t="s">
        <v>448</v>
      </c>
      <c r="G197" t="s">
        <v>57</v>
      </c>
      <c r="H197" t="s">
        <v>67</v>
      </c>
      <c r="I197" t="s">
        <v>21</v>
      </c>
      <c r="J197" t="s">
        <v>53</v>
      </c>
      <c r="K197">
        <v>53</v>
      </c>
      <c r="L197" s="7">
        <v>103</v>
      </c>
      <c r="M197">
        <v>1</v>
      </c>
      <c r="N197">
        <v>4</v>
      </c>
      <c r="O197">
        <v>25</v>
      </c>
      <c r="P197" t="str">
        <f t="shared" si="6"/>
        <v>August</v>
      </c>
      <c r="Q197" t="str">
        <f t="shared" si="7"/>
        <v>Friday</v>
      </c>
      <c r="R197" t="s">
        <v>45</v>
      </c>
    </row>
    <row r="198" spans="1:18">
      <c r="A198">
        <v>2024</v>
      </c>
      <c r="B198" t="s">
        <v>141</v>
      </c>
      <c r="C198" t="s">
        <v>16</v>
      </c>
      <c r="D198" t="s">
        <v>449</v>
      </c>
      <c r="E198" s="2">
        <v>45377</v>
      </c>
      <c r="F198" s="5" t="s">
        <v>430</v>
      </c>
      <c r="G198" t="s">
        <v>35</v>
      </c>
      <c r="H198" t="s">
        <v>28</v>
      </c>
      <c r="I198" t="s">
        <v>44</v>
      </c>
      <c r="J198" t="s">
        <v>53</v>
      </c>
      <c r="K198">
        <v>45</v>
      </c>
      <c r="L198" s="7">
        <v>97</v>
      </c>
      <c r="M198">
        <v>1</v>
      </c>
      <c r="N198">
        <v>0</v>
      </c>
      <c r="O198">
        <v>17</v>
      </c>
      <c r="P198" t="str">
        <f t="shared" si="6"/>
        <v>March</v>
      </c>
      <c r="Q198" t="str">
        <f t="shared" si="7"/>
        <v>Tuesday</v>
      </c>
      <c r="R198" t="s">
        <v>71</v>
      </c>
    </row>
    <row r="199" spans="1:18">
      <c r="A199">
        <v>2024</v>
      </c>
      <c r="B199" t="s">
        <v>100</v>
      </c>
      <c r="C199" t="s">
        <v>16</v>
      </c>
      <c r="D199" t="s">
        <v>450</v>
      </c>
      <c r="E199" s="2">
        <v>45495</v>
      </c>
      <c r="F199" s="5" t="s">
        <v>451</v>
      </c>
      <c r="G199" t="s">
        <v>19</v>
      </c>
      <c r="H199" t="s">
        <v>28</v>
      </c>
      <c r="I199" t="s">
        <v>21</v>
      </c>
      <c r="J199" t="s">
        <v>53</v>
      </c>
      <c r="K199">
        <v>41</v>
      </c>
      <c r="L199" s="7">
        <v>62</v>
      </c>
      <c r="M199">
        <v>4</v>
      </c>
      <c r="N199">
        <v>2</v>
      </c>
      <c r="O199">
        <v>20</v>
      </c>
      <c r="P199" t="str">
        <f t="shared" si="6"/>
        <v>July</v>
      </c>
      <c r="Q199" t="str">
        <f t="shared" si="7"/>
        <v>Monday</v>
      </c>
      <c r="R199" t="s">
        <v>71</v>
      </c>
    </row>
    <row r="200" spans="1:18">
      <c r="A200">
        <v>2023</v>
      </c>
      <c r="B200" t="s">
        <v>38</v>
      </c>
      <c r="C200" t="s">
        <v>32</v>
      </c>
      <c r="D200" t="s">
        <v>452</v>
      </c>
      <c r="E200" s="2">
        <v>44981</v>
      </c>
      <c r="F200" s="5" t="s">
        <v>453</v>
      </c>
      <c r="G200" t="s">
        <v>49</v>
      </c>
      <c r="H200" t="s">
        <v>67</v>
      </c>
      <c r="I200" t="s">
        <v>44</v>
      </c>
      <c r="J200" t="s">
        <v>53</v>
      </c>
      <c r="K200">
        <v>21</v>
      </c>
      <c r="L200" s="7">
        <v>72</v>
      </c>
      <c r="M200">
        <v>3</v>
      </c>
      <c r="N200">
        <v>3</v>
      </c>
      <c r="O200">
        <v>17</v>
      </c>
      <c r="P200" t="str">
        <f t="shared" si="6"/>
        <v>February</v>
      </c>
      <c r="Q200" t="str">
        <f t="shared" si="7"/>
        <v>Friday</v>
      </c>
      <c r="R200" t="s">
        <v>68</v>
      </c>
    </row>
    <row r="201" spans="1:18">
      <c r="A201">
        <v>2023</v>
      </c>
      <c r="B201" t="s">
        <v>50</v>
      </c>
      <c r="C201" t="s">
        <v>16</v>
      </c>
      <c r="D201" t="s">
        <v>454</v>
      </c>
      <c r="E201" s="2">
        <v>45216</v>
      </c>
      <c r="F201" s="5" t="s">
        <v>455</v>
      </c>
      <c r="G201" t="s">
        <v>57</v>
      </c>
      <c r="H201" t="s">
        <v>28</v>
      </c>
      <c r="I201" t="s">
        <v>29</v>
      </c>
      <c r="J201" t="s">
        <v>53</v>
      </c>
      <c r="K201">
        <v>53</v>
      </c>
      <c r="L201" s="7">
        <v>60</v>
      </c>
      <c r="M201">
        <v>1</v>
      </c>
      <c r="N201">
        <v>4</v>
      </c>
      <c r="O201">
        <v>29</v>
      </c>
      <c r="P201" t="str">
        <f t="shared" si="6"/>
        <v>October</v>
      </c>
      <c r="Q201" t="str">
        <f t="shared" si="7"/>
        <v>Tuesday</v>
      </c>
      <c r="R201" t="s">
        <v>105</v>
      </c>
    </row>
    <row r="202" spans="1:18">
      <c r="A202">
        <v>2025</v>
      </c>
      <c r="B202" t="s">
        <v>113</v>
      </c>
      <c r="C202" t="s">
        <v>32</v>
      </c>
      <c r="D202" t="s">
        <v>456</v>
      </c>
      <c r="E202" s="2">
        <v>45964</v>
      </c>
      <c r="F202" s="5" t="s">
        <v>457</v>
      </c>
      <c r="G202" t="s">
        <v>49</v>
      </c>
      <c r="H202" t="s">
        <v>36</v>
      </c>
      <c r="I202" t="s">
        <v>21</v>
      </c>
      <c r="J202" t="s">
        <v>22</v>
      </c>
      <c r="K202">
        <v>26</v>
      </c>
      <c r="L202" s="7">
        <v>70</v>
      </c>
      <c r="M202">
        <v>2</v>
      </c>
      <c r="N202">
        <v>1</v>
      </c>
      <c r="O202">
        <v>37</v>
      </c>
      <c r="P202" t="str">
        <f t="shared" si="6"/>
        <v>November</v>
      </c>
      <c r="Q202" t="str">
        <f t="shared" si="7"/>
        <v>Monday</v>
      </c>
      <c r="R202" t="s">
        <v>45</v>
      </c>
    </row>
    <row r="203" spans="1:18">
      <c r="A203">
        <v>2024</v>
      </c>
      <c r="B203" t="s">
        <v>85</v>
      </c>
      <c r="C203" t="s">
        <v>32</v>
      </c>
      <c r="D203" t="s">
        <v>458</v>
      </c>
      <c r="E203" s="2">
        <v>45322</v>
      </c>
      <c r="F203" s="5" t="s">
        <v>459</v>
      </c>
      <c r="G203" t="s">
        <v>49</v>
      </c>
      <c r="H203" t="s">
        <v>67</v>
      </c>
      <c r="I203" t="s">
        <v>44</v>
      </c>
      <c r="J203" t="s">
        <v>22</v>
      </c>
      <c r="K203">
        <v>31</v>
      </c>
      <c r="L203" s="7">
        <v>97</v>
      </c>
      <c r="M203">
        <v>0</v>
      </c>
      <c r="N203">
        <v>1</v>
      </c>
      <c r="O203">
        <v>32</v>
      </c>
      <c r="P203" t="str">
        <f t="shared" si="6"/>
        <v>January</v>
      </c>
      <c r="Q203" t="str">
        <f t="shared" si="7"/>
        <v>Wednesday</v>
      </c>
      <c r="R203" t="s">
        <v>58</v>
      </c>
    </row>
    <row r="204" spans="1:18">
      <c r="A204">
        <v>2023</v>
      </c>
      <c r="B204" t="s">
        <v>141</v>
      </c>
      <c r="C204" t="s">
        <v>32</v>
      </c>
      <c r="D204" t="s">
        <v>460</v>
      </c>
      <c r="E204" s="2">
        <v>45203</v>
      </c>
      <c r="F204" s="5" t="s">
        <v>461</v>
      </c>
      <c r="G204" t="s">
        <v>27</v>
      </c>
      <c r="H204" t="s">
        <v>36</v>
      </c>
      <c r="I204" t="s">
        <v>44</v>
      </c>
      <c r="J204" t="s">
        <v>53</v>
      </c>
      <c r="K204">
        <v>45</v>
      </c>
      <c r="L204" s="7">
        <v>108</v>
      </c>
      <c r="M204">
        <v>1</v>
      </c>
      <c r="N204">
        <v>6</v>
      </c>
      <c r="O204">
        <v>40</v>
      </c>
      <c r="P204" t="str">
        <f t="shared" si="6"/>
        <v>October</v>
      </c>
      <c r="Q204" t="str">
        <f t="shared" si="7"/>
        <v>Wednesday</v>
      </c>
      <c r="R204" t="s">
        <v>30</v>
      </c>
    </row>
    <row r="205" spans="1:18">
      <c r="A205">
        <v>2024</v>
      </c>
      <c r="B205" t="s">
        <v>24</v>
      </c>
      <c r="C205" t="s">
        <v>32</v>
      </c>
      <c r="D205" t="s">
        <v>462</v>
      </c>
      <c r="E205" s="2">
        <v>45550</v>
      </c>
      <c r="F205" s="5" t="s">
        <v>463</v>
      </c>
      <c r="G205" t="s">
        <v>19</v>
      </c>
      <c r="H205" t="s">
        <v>20</v>
      </c>
      <c r="I205" t="s">
        <v>44</v>
      </c>
      <c r="J205" t="s">
        <v>22</v>
      </c>
      <c r="K205">
        <v>55</v>
      </c>
      <c r="L205" s="7">
        <v>63</v>
      </c>
      <c r="M205">
        <v>5</v>
      </c>
      <c r="N205">
        <v>2</v>
      </c>
      <c r="O205">
        <v>26</v>
      </c>
      <c r="P205" t="str">
        <f t="shared" si="6"/>
        <v>September</v>
      </c>
      <c r="Q205" t="str">
        <f t="shared" si="7"/>
        <v>Sunday</v>
      </c>
      <c r="R205" t="s">
        <v>58</v>
      </c>
    </row>
    <row r="206" spans="1:18">
      <c r="A206">
        <v>2025</v>
      </c>
      <c r="B206" t="s">
        <v>88</v>
      </c>
      <c r="C206" t="s">
        <v>16</v>
      </c>
      <c r="D206" t="s">
        <v>464</v>
      </c>
      <c r="E206" s="2">
        <v>45750</v>
      </c>
      <c r="F206" s="5" t="s">
        <v>465</v>
      </c>
      <c r="G206" t="s">
        <v>27</v>
      </c>
      <c r="H206" t="s">
        <v>67</v>
      </c>
      <c r="I206" t="s">
        <v>21</v>
      </c>
      <c r="J206" t="s">
        <v>22</v>
      </c>
      <c r="K206">
        <v>27</v>
      </c>
      <c r="L206" s="7">
        <v>84</v>
      </c>
      <c r="M206">
        <v>4</v>
      </c>
      <c r="N206">
        <v>1</v>
      </c>
      <c r="O206">
        <v>32</v>
      </c>
      <c r="P206" t="str">
        <f t="shared" si="6"/>
        <v>April</v>
      </c>
      <c r="Q206" t="str">
        <f t="shared" si="7"/>
        <v>Thursday</v>
      </c>
      <c r="R206" t="s">
        <v>14</v>
      </c>
    </row>
    <row r="207" spans="1:18">
      <c r="A207">
        <v>2022</v>
      </c>
      <c r="B207" t="s">
        <v>159</v>
      </c>
      <c r="C207" t="s">
        <v>32</v>
      </c>
      <c r="D207" t="s">
        <v>466</v>
      </c>
      <c r="E207" s="2">
        <v>44652</v>
      </c>
      <c r="F207" s="5" t="s">
        <v>467</v>
      </c>
      <c r="G207" t="s">
        <v>27</v>
      </c>
      <c r="H207" t="s">
        <v>28</v>
      </c>
      <c r="I207" t="s">
        <v>29</v>
      </c>
      <c r="J207" t="s">
        <v>22</v>
      </c>
      <c r="K207">
        <v>59</v>
      </c>
      <c r="L207" s="7">
        <v>116</v>
      </c>
      <c r="M207">
        <v>0</v>
      </c>
      <c r="N207">
        <v>0</v>
      </c>
      <c r="O207">
        <v>17</v>
      </c>
      <c r="P207" t="str">
        <f t="shared" si="6"/>
        <v>April</v>
      </c>
      <c r="Q207" t="str">
        <f t="shared" si="7"/>
        <v>Friday</v>
      </c>
      <c r="R207" t="s">
        <v>58</v>
      </c>
    </row>
    <row r="208" spans="1:18">
      <c r="A208">
        <v>2025</v>
      </c>
      <c r="B208" t="s">
        <v>82</v>
      </c>
      <c r="C208" t="s">
        <v>32</v>
      </c>
      <c r="D208" t="s">
        <v>468</v>
      </c>
      <c r="E208" s="2">
        <v>45788</v>
      </c>
      <c r="F208" s="5" t="s">
        <v>469</v>
      </c>
      <c r="G208" t="s">
        <v>57</v>
      </c>
      <c r="H208" t="s">
        <v>67</v>
      </c>
      <c r="I208" t="s">
        <v>29</v>
      </c>
      <c r="J208" t="s">
        <v>53</v>
      </c>
      <c r="K208">
        <v>34</v>
      </c>
      <c r="L208" s="7">
        <v>116</v>
      </c>
      <c r="M208">
        <v>3</v>
      </c>
      <c r="N208">
        <v>1</v>
      </c>
      <c r="O208">
        <v>39</v>
      </c>
      <c r="P208" t="str">
        <f t="shared" si="6"/>
        <v>May</v>
      </c>
      <c r="Q208" t="str">
        <f t="shared" si="7"/>
        <v>Sunday</v>
      </c>
      <c r="R208" t="s">
        <v>23</v>
      </c>
    </row>
    <row r="209" spans="1:18">
      <c r="A209">
        <v>2025</v>
      </c>
      <c r="B209" t="s">
        <v>277</v>
      </c>
      <c r="C209" t="s">
        <v>16</v>
      </c>
      <c r="D209" t="s">
        <v>470</v>
      </c>
      <c r="E209" s="2">
        <v>45688</v>
      </c>
      <c r="F209" s="5" t="s">
        <v>471</v>
      </c>
      <c r="G209" t="s">
        <v>19</v>
      </c>
      <c r="H209" t="s">
        <v>67</v>
      </c>
      <c r="I209" t="s">
        <v>44</v>
      </c>
      <c r="J209" t="s">
        <v>22</v>
      </c>
      <c r="K209">
        <v>63</v>
      </c>
      <c r="L209" s="7">
        <v>108</v>
      </c>
      <c r="M209">
        <v>2</v>
      </c>
      <c r="N209">
        <v>4</v>
      </c>
      <c r="O209">
        <v>40</v>
      </c>
      <c r="P209" t="str">
        <f t="shared" si="6"/>
        <v>January</v>
      </c>
      <c r="Q209" t="str">
        <f t="shared" si="7"/>
        <v>Friday</v>
      </c>
      <c r="R209" t="s">
        <v>124</v>
      </c>
    </row>
    <row r="210" spans="1:18">
      <c r="A210">
        <v>2023</v>
      </c>
      <c r="B210" t="s">
        <v>277</v>
      </c>
      <c r="C210" t="s">
        <v>16</v>
      </c>
      <c r="D210" t="s">
        <v>472</v>
      </c>
      <c r="E210" s="2">
        <v>45288</v>
      </c>
      <c r="F210" s="5" t="s">
        <v>473</v>
      </c>
      <c r="G210" t="s">
        <v>49</v>
      </c>
      <c r="H210" t="s">
        <v>20</v>
      </c>
      <c r="I210" t="s">
        <v>21</v>
      </c>
      <c r="J210" t="s">
        <v>53</v>
      </c>
      <c r="K210">
        <v>50</v>
      </c>
      <c r="L210" s="7">
        <v>72</v>
      </c>
      <c r="M210">
        <v>3</v>
      </c>
      <c r="N210">
        <v>3</v>
      </c>
      <c r="O210">
        <v>31</v>
      </c>
      <c r="P210" t="str">
        <f t="shared" si="6"/>
        <v>December</v>
      </c>
      <c r="Q210" t="str">
        <f t="shared" si="7"/>
        <v>Thursday</v>
      </c>
      <c r="R210" t="s">
        <v>14</v>
      </c>
    </row>
    <row r="211" spans="1:18">
      <c r="A211">
        <v>2023</v>
      </c>
      <c r="B211" t="s">
        <v>46</v>
      </c>
      <c r="C211" t="s">
        <v>16</v>
      </c>
      <c r="D211" t="s">
        <v>474</v>
      </c>
      <c r="E211" s="2">
        <v>45094</v>
      </c>
      <c r="F211" s="5" t="s">
        <v>475</v>
      </c>
      <c r="G211" t="s">
        <v>19</v>
      </c>
      <c r="H211" t="s">
        <v>28</v>
      </c>
      <c r="I211" t="s">
        <v>29</v>
      </c>
      <c r="J211" t="s">
        <v>53</v>
      </c>
      <c r="K211">
        <v>36</v>
      </c>
      <c r="L211" s="7">
        <v>98</v>
      </c>
      <c r="M211">
        <v>2</v>
      </c>
      <c r="N211">
        <v>0</v>
      </c>
      <c r="O211">
        <v>23</v>
      </c>
      <c r="P211" t="str">
        <f t="shared" si="6"/>
        <v>June</v>
      </c>
      <c r="Q211" t="str">
        <f t="shared" si="7"/>
        <v>Saturday</v>
      </c>
      <c r="R211" t="s">
        <v>23</v>
      </c>
    </row>
    <row r="212" spans="1:18">
      <c r="A212">
        <v>2025</v>
      </c>
      <c r="B212" t="s">
        <v>156</v>
      </c>
      <c r="C212" t="s">
        <v>32</v>
      </c>
      <c r="D212" t="s">
        <v>476</v>
      </c>
      <c r="E212" s="2">
        <v>45888</v>
      </c>
      <c r="F212" s="5" t="s">
        <v>477</v>
      </c>
      <c r="G212" t="s">
        <v>19</v>
      </c>
      <c r="H212" t="s">
        <v>20</v>
      </c>
      <c r="I212" t="s">
        <v>21</v>
      </c>
      <c r="J212" t="s">
        <v>22</v>
      </c>
      <c r="K212">
        <v>47</v>
      </c>
      <c r="L212" s="7">
        <v>90</v>
      </c>
      <c r="M212">
        <v>4</v>
      </c>
      <c r="N212">
        <v>6</v>
      </c>
      <c r="O212">
        <v>41</v>
      </c>
      <c r="P212" t="str">
        <f t="shared" si="6"/>
        <v>August</v>
      </c>
      <c r="Q212" t="str">
        <f t="shared" si="7"/>
        <v>Tuesday</v>
      </c>
      <c r="R212" t="s">
        <v>30</v>
      </c>
    </row>
    <row r="213" spans="1:18">
      <c r="A213">
        <v>2024</v>
      </c>
      <c r="B213" t="s">
        <v>88</v>
      </c>
      <c r="C213" t="s">
        <v>16</v>
      </c>
      <c r="D213" t="s">
        <v>478</v>
      </c>
      <c r="E213" s="2">
        <v>45601</v>
      </c>
      <c r="F213" s="5" t="s">
        <v>479</v>
      </c>
      <c r="G213" t="s">
        <v>35</v>
      </c>
      <c r="H213" t="s">
        <v>20</v>
      </c>
      <c r="I213" t="s">
        <v>21</v>
      </c>
      <c r="J213" t="s">
        <v>53</v>
      </c>
      <c r="K213">
        <v>33</v>
      </c>
      <c r="L213" s="7">
        <v>84</v>
      </c>
      <c r="M213">
        <v>5</v>
      </c>
      <c r="N213">
        <v>3</v>
      </c>
      <c r="O213">
        <v>15</v>
      </c>
      <c r="P213" t="str">
        <f t="shared" si="6"/>
        <v>November</v>
      </c>
      <c r="Q213" t="str">
        <f t="shared" si="7"/>
        <v>Tuesday</v>
      </c>
      <c r="R213" t="s">
        <v>30</v>
      </c>
    </row>
    <row r="214" spans="1:18">
      <c r="A214">
        <v>2023</v>
      </c>
      <c r="B214" t="s">
        <v>141</v>
      </c>
      <c r="C214" t="s">
        <v>32</v>
      </c>
      <c r="D214" t="s">
        <v>480</v>
      </c>
      <c r="E214" s="2">
        <v>45154</v>
      </c>
      <c r="F214" s="5" t="s">
        <v>481</v>
      </c>
      <c r="G214" t="s">
        <v>27</v>
      </c>
      <c r="H214" t="s">
        <v>67</v>
      </c>
      <c r="I214" t="s">
        <v>29</v>
      </c>
      <c r="J214" t="s">
        <v>22</v>
      </c>
      <c r="K214">
        <v>24</v>
      </c>
      <c r="L214" s="7">
        <v>94</v>
      </c>
      <c r="M214">
        <v>1</v>
      </c>
      <c r="N214">
        <v>3</v>
      </c>
      <c r="O214">
        <v>22</v>
      </c>
      <c r="P214" t="str">
        <f t="shared" si="6"/>
        <v>August</v>
      </c>
      <c r="Q214" t="str">
        <f t="shared" si="7"/>
        <v>Wednesday</v>
      </c>
      <c r="R214" t="s">
        <v>124</v>
      </c>
    </row>
    <row r="215" spans="1:18">
      <c r="A215">
        <v>2023</v>
      </c>
      <c r="B215" t="s">
        <v>82</v>
      </c>
      <c r="C215" t="s">
        <v>32</v>
      </c>
      <c r="D215" t="s">
        <v>482</v>
      </c>
      <c r="E215" s="2">
        <v>45287</v>
      </c>
      <c r="F215" s="5" t="s">
        <v>358</v>
      </c>
      <c r="G215" t="s">
        <v>49</v>
      </c>
      <c r="H215" t="s">
        <v>20</v>
      </c>
      <c r="I215" t="s">
        <v>44</v>
      </c>
      <c r="J215" t="s">
        <v>22</v>
      </c>
      <c r="K215">
        <v>30</v>
      </c>
      <c r="L215" s="7">
        <v>46</v>
      </c>
      <c r="M215">
        <v>4</v>
      </c>
      <c r="N215">
        <v>2</v>
      </c>
      <c r="O215">
        <v>41</v>
      </c>
      <c r="P215" t="str">
        <f t="shared" si="6"/>
        <v>December</v>
      </c>
      <c r="Q215" t="str">
        <f t="shared" si="7"/>
        <v>Wednesday</v>
      </c>
      <c r="R215" t="s">
        <v>14</v>
      </c>
    </row>
    <row r="216" spans="1:18">
      <c r="A216">
        <v>2024</v>
      </c>
      <c r="B216" t="s">
        <v>41</v>
      </c>
      <c r="C216" t="s">
        <v>16</v>
      </c>
      <c r="D216" t="s">
        <v>483</v>
      </c>
      <c r="E216" s="2">
        <v>45632</v>
      </c>
      <c r="F216" s="5" t="s">
        <v>484</v>
      </c>
      <c r="G216" t="s">
        <v>49</v>
      </c>
      <c r="H216" t="s">
        <v>36</v>
      </c>
      <c r="I216" t="s">
        <v>29</v>
      </c>
      <c r="J216" t="s">
        <v>22</v>
      </c>
      <c r="K216">
        <v>42</v>
      </c>
      <c r="L216" s="7">
        <v>66</v>
      </c>
      <c r="M216">
        <v>3</v>
      </c>
      <c r="N216">
        <v>1</v>
      </c>
      <c r="O216">
        <v>36</v>
      </c>
      <c r="P216" t="str">
        <f t="shared" si="6"/>
        <v>December</v>
      </c>
      <c r="Q216" t="str">
        <f t="shared" si="7"/>
        <v>Friday</v>
      </c>
      <c r="R216" t="s">
        <v>58</v>
      </c>
    </row>
    <row r="217" spans="1:18">
      <c r="A217">
        <v>2026</v>
      </c>
      <c r="B217" t="s">
        <v>31</v>
      </c>
      <c r="C217" t="s">
        <v>16</v>
      </c>
      <c r="D217" t="s">
        <v>485</v>
      </c>
      <c r="E217" s="2">
        <v>46050</v>
      </c>
      <c r="F217" s="5" t="s">
        <v>486</v>
      </c>
      <c r="G217" t="s">
        <v>27</v>
      </c>
      <c r="H217" t="s">
        <v>67</v>
      </c>
      <c r="I217" t="s">
        <v>29</v>
      </c>
      <c r="J217" t="s">
        <v>53</v>
      </c>
      <c r="K217">
        <v>23</v>
      </c>
      <c r="L217" s="7">
        <v>55</v>
      </c>
      <c r="M217">
        <v>3</v>
      </c>
      <c r="N217">
        <v>6</v>
      </c>
      <c r="O217">
        <v>8</v>
      </c>
      <c r="P217" t="str">
        <f t="shared" si="6"/>
        <v>January</v>
      </c>
      <c r="Q217" t="str">
        <f t="shared" si="7"/>
        <v>Wednesday</v>
      </c>
      <c r="R217" t="s">
        <v>37</v>
      </c>
    </row>
    <row r="218" spans="1:18">
      <c r="A218">
        <v>2023</v>
      </c>
      <c r="B218" t="s">
        <v>100</v>
      </c>
      <c r="C218" t="s">
        <v>16</v>
      </c>
      <c r="D218" t="s">
        <v>487</v>
      </c>
      <c r="E218" s="2">
        <v>45064</v>
      </c>
      <c r="F218" s="5" t="s">
        <v>488</v>
      </c>
      <c r="G218" t="s">
        <v>35</v>
      </c>
      <c r="H218" t="s">
        <v>36</v>
      </c>
      <c r="I218" t="s">
        <v>21</v>
      </c>
      <c r="J218" t="s">
        <v>22</v>
      </c>
      <c r="K218">
        <v>24</v>
      </c>
      <c r="L218" s="7">
        <v>116</v>
      </c>
      <c r="M218">
        <v>4</v>
      </c>
      <c r="N218">
        <v>4</v>
      </c>
      <c r="O218">
        <v>26</v>
      </c>
      <c r="P218" t="str">
        <f t="shared" si="6"/>
        <v>May</v>
      </c>
      <c r="Q218" t="str">
        <f t="shared" si="7"/>
        <v>Thursday</v>
      </c>
      <c r="R218" t="s">
        <v>30</v>
      </c>
    </row>
    <row r="219" spans="1:18">
      <c r="A219">
        <v>2025</v>
      </c>
      <c r="B219" t="s">
        <v>175</v>
      </c>
      <c r="C219" t="s">
        <v>32</v>
      </c>
      <c r="D219" t="s">
        <v>489</v>
      </c>
      <c r="E219" s="2">
        <v>45870</v>
      </c>
      <c r="F219" s="5" t="s">
        <v>490</v>
      </c>
      <c r="G219" t="s">
        <v>19</v>
      </c>
      <c r="H219" t="s">
        <v>36</v>
      </c>
      <c r="I219" t="s">
        <v>44</v>
      </c>
      <c r="J219" t="s">
        <v>53</v>
      </c>
      <c r="K219">
        <v>64</v>
      </c>
      <c r="L219" s="7">
        <v>77</v>
      </c>
      <c r="M219">
        <v>1</v>
      </c>
      <c r="N219">
        <v>1</v>
      </c>
      <c r="O219">
        <v>34</v>
      </c>
      <c r="P219" t="str">
        <f t="shared" si="6"/>
        <v>August</v>
      </c>
      <c r="Q219" t="str">
        <f t="shared" si="7"/>
        <v>Friday</v>
      </c>
      <c r="R219" t="s">
        <v>37</v>
      </c>
    </row>
    <row r="220" spans="1:18">
      <c r="A220">
        <v>2025</v>
      </c>
      <c r="B220" t="s">
        <v>172</v>
      </c>
      <c r="C220" t="s">
        <v>32</v>
      </c>
      <c r="D220" t="s">
        <v>491</v>
      </c>
      <c r="E220" s="2">
        <v>45753</v>
      </c>
      <c r="F220" s="5" t="s">
        <v>492</v>
      </c>
      <c r="G220" t="s">
        <v>57</v>
      </c>
      <c r="H220" t="s">
        <v>36</v>
      </c>
      <c r="I220" t="s">
        <v>29</v>
      </c>
      <c r="J220" t="s">
        <v>22</v>
      </c>
      <c r="K220">
        <v>38</v>
      </c>
      <c r="L220" s="7">
        <v>115</v>
      </c>
      <c r="M220">
        <v>3</v>
      </c>
      <c r="N220">
        <v>3</v>
      </c>
      <c r="O220">
        <v>35</v>
      </c>
      <c r="P220" t="str">
        <f t="shared" si="6"/>
        <v>April</v>
      </c>
      <c r="Q220" t="str">
        <f t="shared" si="7"/>
        <v>Sunday</v>
      </c>
      <c r="R220" t="s">
        <v>71</v>
      </c>
    </row>
    <row r="221" spans="1:18">
      <c r="A221">
        <v>2025</v>
      </c>
      <c r="B221" t="s">
        <v>59</v>
      </c>
      <c r="C221" t="s">
        <v>32</v>
      </c>
      <c r="D221" t="s">
        <v>493</v>
      </c>
      <c r="E221" s="2">
        <v>45779</v>
      </c>
      <c r="F221" s="5" t="s">
        <v>494</v>
      </c>
      <c r="G221" t="s">
        <v>35</v>
      </c>
      <c r="H221" t="s">
        <v>28</v>
      </c>
      <c r="I221" t="s">
        <v>21</v>
      </c>
      <c r="J221" t="s">
        <v>53</v>
      </c>
      <c r="K221">
        <v>53</v>
      </c>
      <c r="L221" s="7">
        <v>67</v>
      </c>
      <c r="M221">
        <v>0</v>
      </c>
      <c r="N221">
        <v>5</v>
      </c>
      <c r="O221">
        <v>12</v>
      </c>
      <c r="P221" t="str">
        <f t="shared" si="6"/>
        <v>May</v>
      </c>
      <c r="Q221" t="str">
        <f t="shared" si="7"/>
        <v>Friday</v>
      </c>
      <c r="R221" t="s">
        <v>71</v>
      </c>
    </row>
    <row r="222" spans="1:18">
      <c r="A222">
        <v>2023</v>
      </c>
      <c r="B222" t="s">
        <v>93</v>
      </c>
      <c r="C222" t="s">
        <v>16</v>
      </c>
      <c r="D222" t="s">
        <v>495</v>
      </c>
      <c r="E222" s="2">
        <v>45028</v>
      </c>
      <c r="F222" s="5" t="s">
        <v>342</v>
      </c>
      <c r="G222" t="s">
        <v>57</v>
      </c>
      <c r="H222" t="s">
        <v>67</v>
      </c>
      <c r="I222" t="s">
        <v>44</v>
      </c>
      <c r="J222" t="s">
        <v>22</v>
      </c>
      <c r="K222">
        <v>63</v>
      </c>
      <c r="L222" s="7">
        <v>59</v>
      </c>
      <c r="M222">
        <v>1</v>
      </c>
      <c r="N222">
        <v>0</v>
      </c>
      <c r="O222">
        <v>40</v>
      </c>
      <c r="P222" t="str">
        <f t="shared" si="6"/>
        <v>April</v>
      </c>
      <c r="Q222" t="str">
        <f t="shared" si="7"/>
        <v>Wednesday</v>
      </c>
      <c r="R222" t="s">
        <v>105</v>
      </c>
    </row>
    <row r="223" spans="1:18">
      <c r="A223">
        <v>2023</v>
      </c>
      <c r="B223" t="s">
        <v>85</v>
      </c>
      <c r="C223" t="s">
        <v>16</v>
      </c>
      <c r="D223" t="s">
        <v>496</v>
      </c>
      <c r="E223" s="2">
        <v>44955</v>
      </c>
      <c r="F223" s="5" t="s">
        <v>497</v>
      </c>
      <c r="G223" t="s">
        <v>49</v>
      </c>
      <c r="H223" t="s">
        <v>36</v>
      </c>
      <c r="I223" t="s">
        <v>29</v>
      </c>
      <c r="J223" t="s">
        <v>53</v>
      </c>
      <c r="K223">
        <v>28</v>
      </c>
      <c r="L223" s="7">
        <v>53</v>
      </c>
      <c r="M223">
        <v>4</v>
      </c>
      <c r="N223">
        <v>6</v>
      </c>
      <c r="O223">
        <v>14</v>
      </c>
      <c r="P223" t="str">
        <f t="shared" si="6"/>
        <v>January</v>
      </c>
      <c r="Q223" t="str">
        <f t="shared" si="7"/>
        <v>Sunday</v>
      </c>
      <c r="R223" t="s">
        <v>37</v>
      </c>
    </row>
    <row r="224" spans="1:18">
      <c r="A224">
        <v>2025</v>
      </c>
      <c r="B224" t="s">
        <v>82</v>
      </c>
      <c r="C224" t="s">
        <v>16</v>
      </c>
      <c r="D224" t="s">
        <v>498</v>
      </c>
      <c r="E224" s="2">
        <v>45936</v>
      </c>
      <c r="F224" s="5" t="s">
        <v>499</v>
      </c>
      <c r="G224" t="s">
        <v>19</v>
      </c>
      <c r="H224" t="s">
        <v>36</v>
      </c>
      <c r="I224" t="s">
        <v>29</v>
      </c>
      <c r="J224" t="s">
        <v>22</v>
      </c>
      <c r="K224">
        <v>35</v>
      </c>
      <c r="L224" s="7">
        <v>94</v>
      </c>
      <c r="M224">
        <v>5</v>
      </c>
      <c r="N224">
        <v>5</v>
      </c>
      <c r="O224">
        <v>30</v>
      </c>
      <c r="P224" t="str">
        <f t="shared" si="6"/>
        <v>October</v>
      </c>
      <c r="Q224" t="str">
        <f t="shared" si="7"/>
        <v>Monday</v>
      </c>
      <c r="R224" t="s">
        <v>68</v>
      </c>
    </row>
    <row r="225" spans="1:18">
      <c r="A225">
        <v>2023</v>
      </c>
      <c r="B225" t="s">
        <v>136</v>
      </c>
      <c r="C225" t="s">
        <v>16</v>
      </c>
      <c r="D225" t="s">
        <v>500</v>
      </c>
      <c r="E225" s="2">
        <v>45198</v>
      </c>
      <c r="F225" s="5" t="s">
        <v>501</v>
      </c>
      <c r="G225" t="s">
        <v>19</v>
      </c>
      <c r="H225" t="s">
        <v>20</v>
      </c>
      <c r="I225" t="s">
        <v>21</v>
      </c>
      <c r="J225" t="s">
        <v>22</v>
      </c>
      <c r="K225">
        <v>48</v>
      </c>
      <c r="L225" s="7">
        <v>106</v>
      </c>
      <c r="M225">
        <v>3</v>
      </c>
      <c r="N225">
        <v>0</v>
      </c>
      <c r="O225">
        <v>30</v>
      </c>
      <c r="P225" t="str">
        <f t="shared" si="6"/>
        <v>September</v>
      </c>
      <c r="Q225" t="str">
        <f t="shared" si="7"/>
        <v>Friday</v>
      </c>
      <c r="R225" t="s">
        <v>105</v>
      </c>
    </row>
    <row r="226" spans="1:18">
      <c r="A226">
        <v>2023</v>
      </c>
      <c r="B226" t="s">
        <v>113</v>
      </c>
      <c r="C226" t="s">
        <v>16</v>
      </c>
      <c r="D226" t="s">
        <v>502</v>
      </c>
      <c r="E226" s="2">
        <v>45217</v>
      </c>
      <c r="F226" s="5" t="s">
        <v>90</v>
      </c>
      <c r="G226" t="s">
        <v>19</v>
      </c>
      <c r="H226" t="s">
        <v>67</v>
      </c>
      <c r="I226" t="s">
        <v>29</v>
      </c>
      <c r="J226" t="s">
        <v>22</v>
      </c>
      <c r="K226">
        <v>60</v>
      </c>
      <c r="L226" s="7">
        <v>60</v>
      </c>
      <c r="M226">
        <v>5</v>
      </c>
      <c r="N226">
        <v>5</v>
      </c>
      <c r="O226">
        <v>43</v>
      </c>
      <c r="P226" t="str">
        <f t="shared" si="6"/>
        <v>October</v>
      </c>
      <c r="Q226" t="str">
        <f t="shared" si="7"/>
        <v>Wednesday</v>
      </c>
      <c r="R226" t="s">
        <v>124</v>
      </c>
    </row>
    <row r="227" spans="1:18">
      <c r="A227">
        <v>2024</v>
      </c>
      <c r="B227" t="s">
        <v>85</v>
      </c>
      <c r="C227" t="s">
        <v>32</v>
      </c>
      <c r="D227" t="s">
        <v>503</v>
      </c>
      <c r="E227" s="2">
        <v>45533</v>
      </c>
      <c r="F227" s="5" t="s">
        <v>504</v>
      </c>
      <c r="G227" t="s">
        <v>49</v>
      </c>
      <c r="H227" t="s">
        <v>28</v>
      </c>
      <c r="I227" t="s">
        <v>21</v>
      </c>
      <c r="J227" t="s">
        <v>22</v>
      </c>
      <c r="K227">
        <v>46</v>
      </c>
      <c r="L227" s="7">
        <v>108</v>
      </c>
      <c r="M227">
        <v>0</v>
      </c>
      <c r="N227">
        <v>6</v>
      </c>
      <c r="O227">
        <v>16</v>
      </c>
      <c r="P227" t="str">
        <f t="shared" si="6"/>
        <v>August</v>
      </c>
      <c r="Q227" t="str">
        <f t="shared" si="7"/>
        <v>Thursday</v>
      </c>
      <c r="R227" t="s">
        <v>68</v>
      </c>
    </row>
    <row r="228" spans="1:18">
      <c r="A228">
        <v>2026</v>
      </c>
      <c r="B228" t="s">
        <v>159</v>
      </c>
      <c r="C228" t="s">
        <v>32</v>
      </c>
      <c r="D228" t="s">
        <v>505</v>
      </c>
      <c r="E228" s="2">
        <v>46042</v>
      </c>
      <c r="F228" s="5" t="s">
        <v>506</v>
      </c>
      <c r="G228" t="s">
        <v>57</v>
      </c>
      <c r="H228" t="s">
        <v>36</v>
      </c>
      <c r="I228" t="s">
        <v>21</v>
      </c>
      <c r="J228" t="s">
        <v>22</v>
      </c>
      <c r="K228">
        <v>39</v>
      </c>
      <c r="L228" s="7">
        <v>77</v>
      </c>
      <c r="M228">
        <v>1</v>
      </c>
      <c r="N228">
        <v>4</v>
      </c>
      <c r="O228">
        <v>45</v>
      </c>
      <c r="P228" t="str">
        <f t="shared" si="6"/>
        <v>January</v>
      </c>
      <c r="Q228" t="str">
        <f t="shared" si="7"/>
        <v>Tuesday</v>
      </c>
      <c r="R228" t="s">
        <v>105</v>
      </c>
    </row>
    <row r="229" spans="1:18">
      <c r="A229">
        <v>2023</v>
      </c>
      <c r="B229" t="s">
        <v>38</v>
      </c>
      <c r="C229" t="s">
        <v>32</v>
      </c>
      <c r="D229" t="s">
        <v>507</v>
      </c>
      <c r="E229" s="2">
        <v>45067</v>
      </c>
      <c r="F229" s="5" t="s">
        <v>508</v>
      </c>
      <c r="G229" t="s">
        <v>27</v>
      </c>
      <c r="H229" t="s">
        <v>20</v>
      </c>
      <c r="I229" t="s">
        <v>29</v>
      </c>
      <c r="J229" t="s">
        <v>22</v>
      </c>
      <c r="K229">
        <v>19</v>
      </c>
      <c r="L229" s="7">
        <v>47</v>
      </c>
      <c r="M229">
        <v>1</v>
      </c>
      <c r="N229">
        <v>1</v>
      </c>
      <c r="O229">
        <v>43</v>
      </c>
      <c r="P229" t="str">
        <f t="shared" si="6"/>
        <v>May</v>
      </c>
      <c r="Q229" t="str">
        <f t="shared" si="7"/>
        <v>Sunday</v>
      </c>
      <c r="R229" t="s">
        <v>105</v>
      </c>
    </row>
    <row r="230" spans="1:18">
      <c r="A230">
        <v>2022</v>
      </c>
      <c r="B230" t="s">
        <v>141</v>
      </c>
      <c r="C230" t="s">
        <v>32</v>
      </c>
      <c r="D230" t="s">
        <v>509</v>
      </c>
      <c r="E230" s="2">
        <v>44569</v>
      </c>
      <c r="F230" s="5" t="s">
        <v>510</v>
      </c>
      <c r="G230" t="s">
        <v>35</v>
      </c>
      <c r="H230" t="s">
        <v>20</v>
      </c>
      <c r="I230" t="s">
        <v>21</v>
      </c>
      <c r="J230" t="s">
        <v>22</v>
      </c>
      <c r="K230">
        <v>23</v>
      </c>
      <c r="L230" s="7">
        <v>81</v>
      </c>
      <c r="M230">
        <v>2</v>
      </c>
      <c r="N230">
        <v>1</v>
      </c>
      <c r="O230">
        <v>40</v>
      </c>
      <c r="P230" t="str">
        <f t="shared" si="6"/>
        <v>January</v>
      </c>
      <c r="Q230" t="str">
        <f t="shared" si="7"/>
        <v>Saturday</v>
      </c>
      <c r="R230" t="s">
        <v>124</v>
      </c>
    </row>
    <row r="231" spans="1:18">
      <c r="A231">
        <v>2024</v>
      </c>
      <c r="B231" t="s">
        <v>38</v>
      </c>
      <c r="C231" t="s">
        <v>16</v>
      </c>
      <c r="D231" t="s">
        <v>511</v>
      </c>
      <c r="E231" s="2">
        <v>45386</v>
      </c>
      <c r="F231" s="5" t="s">
        <v>512</v>
      </c>
      <c r="G231" t="s">
        <v>27</v>
      </c>
      <c r="H231" t="s">
        <v>20</v>
      </c>
      <c r="I231" t="s">
        <v>29</v>
      </c>
      <c r="J231" t="s">
        <v>22</v>
      </c>
      <c r="K231">
        <v>22</v>
      </c>
      <c r="L231" s="7">
        <v>75</v>
      </c>
      <c r="M231">
        <v>5</v>
      </c>
      <c r="N231">
        <v>1</v>
      </c>
      <c r="O231">
        <v>12</v>
      </c>
      <c r="P231" t="str">
        <f t="shared" si="6"/>
        <v>April</v>
      </c>
      <c r="Q231" t="str">
        <f t="shared" si="7"/>
        <v>Thursday</v>
      </c>
      <c r="R231" t="s">
        <v>68</v>
      </c>
    </row>
    <row r="232" spans="1:18">
      <c r="A232">
        <v>2023</v>
      </c>
      <c r="B232" t="s">
        <v>100</v>
      </c>
      <c r="C232" t="s">
        <v>32</v>
      </c>
      <c r="D232" t="s">
        <v>513</v>
      </c>
      <c r="E232" s="2">
        <v>45201</v>
      </c>
      <c r="F232" s="5" t="s">
        <v>514</v>
      </c>
      <c r="G232" t="s">
        <v>57</v>
      </c>
      <c r="H232" t="s">
        <v>28</v>
      </c>
      <c r="I232" t="s">
        <v>44</v>
      </c>
      <c r="J232" t="s">
        <v>22</v>
      </c>
      <c r="K232">
        <v>43</v>
      </c>
      <c r="L232" s="7">
        <v>77</v>
      </c>
      <c r="M232">
        <v>5</v>
      </c>
      <c r="N232">
        <v>4</v>
      </c>
      <c r="O232">
        <v>14</v>
      </c>
      <c r="P232" t="str">
        <f t="shared" si="6"/>
        <v>October</v>
      </c>
      <c r="Q232" t="str">
        <f t="shared" si="7"/>
        <v>Monday</v>
      </c>
      <c r="R232" t="s">
        <v>68</v>
      </c>
    </row>
    <row r="233" spans="1:18">
      <c r="A233">
        <v>2025</v>
      </c>
      <c r="B233" t="s">
        <v>54</v>
      </c>
      <c r="C233" t="s">
        <v>16</v>
      </c>
      <c r="D233" t="s">
        <v>515</v>
      </c>
      <c r="E233" s="2">
        <v>45792</v>
      </c>
      <c r="F233" s="5" t="s">
        <v>255</v>
      </c>
      <c r="G233" t="s">
        <v>49</v>
      </c>
      <c r="H233" t="s">
        <v>20</v>
      </c>
      <c r="I233" t="s">
        <v>44</v>
      </c>
      <c r="J233" t="s">
        <v>53</v>
      </c>
      <c r="K233">
        <v>25</v>
      </c>
      <c r="L233" s="7">
        <v>69</v>
      </c>
      <c r="M233">
        <v>5</v>
      </c>
      <c r="N233">
        <v>1</v>
      </c>
      <c r="O233">
        <v>19</v>
      </c>
      <c r="P233" t="str">
        <f t="shared" si="6"/>
        <v>May</v>
      </c>
      <c r="Q233" t="str">
        <f t="shared" si="7"/>
        <v>Thursday</v>
      </c>
      <c r="R233" t="s">
        <v>30</v>
      </c>
    </row>
    <row r="234" spans="1:18">
      <c r="A234">
        <v>2022</v>
      </c>
      <c r="B234" t="s">
        <v>172</v>
      </c>
      <c r="C234" t="s">
        <v>16</v>
      </c>
      <c r="D234" t="s">
        <v>516</v>
      </c>
      <c r="E234" s="2">
        <v>44575</v>
      </c>
      <c r="F234" s="5" t="s">
        <v>517</v>
      </c>
      <c r="G234" t="s">
        <v>49</v>
      </c>
      <c r="H234" t="s">
        <v>36</v>
      </c>
      <c r="I234" t="s">
        <v>44</v>
      </c>
      <c r="J234" t="s">
        <v>22</v>
      </c>
      <c r="K234">
        <v>46</v>
      </c>
      <c r="L234" s="7">
        <v>44</v>
      </c>
      <c r="M234">
        <v>3</v>
      </c>
      <c r="N234">
        <v>5</v>
      </c>
      <c r="O234">
        <v>9</v>
      </c>
      <c r="P234" t="str">
        <f t="shared" si="6"/>
        <v>January</v>
      </c>
      <c r="Q234" t="str">
        <f t="shared" si="7"/>
        <v>Friday</v>
      </c>
      <c r="R234" t="s">
        <v>58</v>
      </c>
    </row>
    <row r="235" spans="1:18">
      <c r="A235">
        <v>2022</v>
      </c>
      <c r="B235" t="s">
        <v>88</v>
      </c>
      <c r="C235" t="s">
        <v>16</v>
      </c>
      <c r="D235" t="s">
        <v>518</v>
      </c>
      <c r="E235" s="2">
        <v>44846</v>
      </c>
      <c r="F235" s="5" t="s">
        <v>517</v>
      </c>
      <c r="G235" t="s">
        <v>35</v>
      </c>
      <c r="H235" t="s">
        <v>20</v>
      </c>
      <c r="I235" t="s">
        <v>29</v>
      </c>
      <c r="J235" t="s">
        <v>53</v>
      </c>
      <c r="K235">
        <v>41</v>
      </c>
      <c r="L235" s="7">
        <v>119</v>
      </c>
      <c r="M235">
        <v>2</v>
      </c>
      <c r="N235">
        <v>6</v>
      </c>
      <c r="O235">
        <v>15</v>
      </c>
      <c r="P235" t="str">
        <f t="shared" si="6"/>
        <v>October</v>
      </c>
      <c r="Q235" t="str">
        <f t="shared" si="7"/>
        <v>Wednesday</v>
      </c>
      <c r="R235" t="s">
        <v>71</v>
      </c>
    </row>
    <row r="236" spans="1:18">
      <c r="A236">
        <v>2023</v>
      </c>
      <c r="B236" t="s">
        <v>136</v>
      </c>
      <c r="C236" t="s">
        <v>16</v>
      </c>
      <c r="D236" t="s">
        <v>519</v>
      </c>
      <c r="E236" s="2">
        <v>45097</v>
      </c>
      <c r="F236" s="5" t="s">
        <v>423</v>
      </c>
      <c r="G236" t="s">
        <v>35</v>
      </c>
      <c r="H236" t="s">
        <v>36</v>
      </c>
      <c r="I236" t="s">
        <v>29</v>
      </c>
      <c r="J236" t="s">
        <v>53</v>
      </c>
      <c r="K236">
        <v>26</v>
      </c>
      <c r="L236" s="7">
        <v>115</v>
      </c>
      <c r="M236">
        <v>2</v>
      </c>
      <c r="N236">
        <v>0</v>
      </c>
      <c r="O236">
        <v>14</v>
      </c>
      <c r="P236" t="str">
        <f t="shared" si="6"/>
        <v>June</v>
      </c>
      <c r="Q236" t="str">
        <f t="shared" si="7"/>
        <v>Tuesday</v>
      </c>
      <c r="R236" t="s">
        <v>68</v>
      </c>
    </row>
    <row r="237" spans="1:18">
      <c r="A237">
        <v>2022</v>
      </c>
      <c r="B237" t="s">
        <v>172</v>
      </c>
      <c r="C237" t="s">
        <v>16</v>
      </c>
      <c r="D237" t="s">
        <v>520</v>
      </c>
      <c r="E237" s="2">
        <v>44835</v>
      </c>
      <c r="F237" s="5" t="s">
        <v>408</v>
      </c>
      <c r="G237" t="s">
        <v>57</v>
      </c>
      <c r="H237" t="s">
        <v>28</v>
      </c>
      <c r="I237" t="s">
        <v>29</v>
      </c>
      <c r="J237" t="s">
        <v>53</v>
      </c>
      <c r="K237">
        <v>65</v>
      </c>
      <c r="L237" s="7">
        <v>100</v>
      </c>
      <c r="M237">
        <v>2</v>
      </c>
      <c r="N237">
        <v>3</v>
      </c>
      <c r="O237">
        <v>27</v>
      </c>
      <c r="P237" t="str">
        <f t="shared" si="6"/>
        <v>October</v>
      </c>
      <c r="Q237" t="str">
        <f t="shared" si="7"/>
        <v>Saturday</v>
      </c>
      <c r="R237" t="s">
        <v>23</v>
      </c>
    </row>
    <row r="238" spans="1:18">
      <c r="A238">
        <v>2022</v>
      </c>
      <c r="B238" t="s">
        <v>113</v>
      </c>
      <c r="C238" t="s">
        <v>32</v>
      </c>
      <c r="D238" t="s">
        <v>521</v>
      </c>
      <c r="E238" s="2">
        <v>44750</v>
      </c>
      <c r="F238" s="5" t="s">
        <v>522</v>
      </c>
      <c r="G238" t="s">
        <v>57</v>
      </c>
      <c r="H238" t="s">
        <v>20</v>
      </c>
      <c r="I238" t="s">
        <v>21</v>
      </c>
      <c r="J238" t="s">
        <v>53</v>
      </c>
      <c r="K238">
        <v>39</v>
      </c>
      <c r="L238" s="7">
        <v>45</v>
      </c>
      <c r="M238">
        <v>0</v>
      </c>
      <c r="N238">
        <v>6</v>
      </c>
      <c r="O238">
        <v>45</v>
      </c>
      <c r="P238" t="str">
        <f t="shared" si="6"/>
        <v>July</v>
      </c>
      <c r="Q238" t="str">
        <f t="shared" si="7"/>
        <v>Friday</v>
      </c>
      <c r="R238" t="s">
        <v>30</v>
      </c>
    </row>
    <row r="239" spans="1:18">
      <c r="A239">
        <v>2024</v>
      </c>
      <c r="B239" t="s">
        <v>172</v>
      </c>
      <c r="C239" t="s">
        <v>16</v>
      </c>
      <c r="D239" t="s">
        <v>523</v>
      </c>
      <c r="E239" s="2">
        <v>45487</v>
      </c>
      <c r="F239" s="5" t="s">
        <v>524</v>
      </c>
      <c r="G239" t="s">
        <v>27</v>
      </c>
      <c r="H239" t="s">
        <v>67</v>
      </c>
      <c r="I239" t="s">
        <v>21</v>
      </c>
      <c r="J239" t="s">
        <v>53</v>
      </c>
      <c r="K239">
        <v>46</v>
      </c>
      <c r="L239" s="7">
        <v>46</v>
      </c>
      <c r="M239">
        <v>0</v>
      </c>
      <c r="N239">
        <v>4</v>
      </c>
      <c r="O239">
        <v>13</v>
      </c>
      <c r="P239" t="str">
        <f t="shared" si="6"/>
        <v>July</v>
      </c>
      <c r="Q239" t="str">
        <f t="shared" si="7"/>
        <v>Sunday</v>
      </c>
      <c r="R239" t="s">
        <v>45</v>
      </c>
    </row>
    <row r="240" spans="1:18">
      <c r="A240">
        <v>2022</v>
      </c>
      <c r="B240" t="s">
        <v>62</v>
      </c>
      <c r="C240" t="s">
        <v>32</v>
      </c>
      <c r="D240" t="s">
        <v>525</v>
      </c>
      <c r="E240" s="2">
        <v>44910</v>
      </c>
      <c r="F240" s="5" t="s">
        <v>526</v>
      </c>
      <c r="G240" t="s">
        <v>35</v>
      </c>
      <c r="H240" t="s">
        <v>67</v>
      </c>
      <c r="I240" t="s">
        <v>44</v>
      </c>
      <c r="J240" t="s">
        <v>22</v>
      </c>
      <c r="K240">
        <v>23</v>
      </c>
      <c r="L240" s="7">
        <v>59</v>
      </c>
      <c r="M240">
        <v>2</v>
      </c>
      <c r="N240">
        <v>2</v>
      </c>
      <c r="O240">
        <v>12</v>
      </c>
      <c r="P240" t="str">
        <f t="shared" si="6"/>
        <v>December</v>
      </c>
      <c r="Q240" t="str">
        <f t="shared" si="7"/>
        <v>Thursday</v>
      </c>
      <c r="R240" t="s">
        <v>58</v>
      </c>
    </row>
    <row r="241" spans="1:18">
      <c r="A241">
        <v>2024</v>
      </c>
      <c r="B241" t="s">
        <v>208</v>
      </c>
      <c r="C241" t="s">
        <v>32</v>
      </c>
      <c r="D241" t="s">
        <v>527</v>
      </c>
      <c r="E241" s="2">
        <v>45481</v>
      </c>
      <c r="F241" s="5" t="s">
        <v>528</v>
      </c>
      <c r="G241" t="s">
        <v>57</v>
      </c>
      <c r="H241" t="s">
        <v>67</v>
      </c>
      <c r="I241" t="s">
        <v>44</v>
      </c>
      <c r="J241" t="s">
        <v>53</v>
      </c>
      <c r="K241">
        <v>46</v>
      </c>
      <c r="L241" s="7">
        <v>74</v>
      </c>
      <c r="M241">
        <v>3</v>
      </c>
      <c r="N241">
        <v>3</v>
      </c>
      <c r="O241">
        <v>35</v>
      </c>
      <c r="P241" t="str">
        <f t="shared" si="6"/>
        <v>July</v>
      </c>
      <c r="Q241" t="str">
        <f t="shared" si="7"/>
        <v>Monday</v>
      </c>
      <c r="R241" t="s">
        <v>45</v>
      </c>
    </row>
    <row r="242" spans="1:18">
      <c r="A242">
        <v>2025</v>
      </c>
      <c r="B242" t="s">
        <v>172</v>
      </c>
      <c r="C242" t="s">
        <v>16</v>
      </c>
      <c r="D242" t="s">
        <v>529</v>
      </c>
      <c r="E242" s="2">
        <v>45965</v>
      </c>
      <c r="F242" s="5" t="s">
        <v>530</v>
      </c>
      <c r="G242" t="s">
        <v>49</v>
      </c>
      <c r="H242" t="s">
        <v>28</v>
      </c>
      <c r="I242" t="s">
        <v>44</v>
      </c>
      <c r="J242" t="s">
        <v>22</v>
      </c>
      <c r="K242">
        <v>65</v>
      </c>
      <c r="L242" s="7">
        <v>65</v>
      </c>
      <c r="M242">
        <v>1</v>
      </c>
      <c r="N242">
        <v>0</v>
      </c>
      <c r="O242">
        <v>28</v>
      </c>
      <c r="P242" t="str">
        <f t="shared" si="6"/>
        <v>November</v>
      </c>
      <c r="Q242" t="str">
        <f t="shared" si="7"/>
        <v>Tuesday</v>
      </c>
      <c r="R242" t="s">
        <v>30</v>
      </c>
    </row>
    <row r="243" spans="1:18">
      <c r="A243">
        <v>2022</v>
      </c>
      <c r="B243" t="s">
        <v>31</v>
      </c>
      <c r="C243" t="s">
        <v>16</v>
      </c>
      <c r="D243" t="s">
        <v>531</v>
      </c>
      <c r="E243" s="2">
        <v>44860</v>
      </c>
      <c r="F243" s="5" t="s">
        <v>212</v>
      </c>
      <c r="G243" t="s">
        <v>35</v>
      </c>
      <c r="H243" t="s">
        <v>20</v>
      </c>
      <c r="I243" t="s">
        <v>29</v>
      </c>
      <c r="J243" t="s">
        <v>53</v>
      </c>
      <c r="K243">
        <v>37</v>
      </c>
      <c r="L243" s="7">
        <v>91</v>
      </c>
      <c r="M243">
        <v>4</v>
      </c>
      <c r="N243">
        <v>0</v>
      </c>
      <c r="O243">
        <v>10</v>
      </c>
      <c r="P243" t="str">
        <f t="shared" si="6"/>
        <v>October</v>
      </c>
      <c r="Q243" t="str">
        <f t="shared" si="7"/>
        <v>Wednesday</v>
      </c>
      <c r="R243" t="s">
        <v>105</v>
      </c>
    </row>
    <row r="244" spans="1:18">
      <c r="A244">
        <v>2023</v>
      </c>
      <c r="B244" t="s">
        <v>82</v>
      </c>
      <c r="C244" t="s">
        <v>16</v>
      </c>
      <c r="D244" t="s">
        <v>532</v>
      </c>
      <c r="E244" s="2">
        <v>44931</v>
      </c>
      <c r="F244" s="5" t="s">
        <v>533</v>
      </c>
      <c r="G244" t="s">
        <v>35</v>
      </c>
      <c r="H244" t="s">
        <v>67</v>
      </c>
      <c r="I244" t="s">
        <v>29</v>
      </c>
      <c r="J244" t="s">
        <v>53</v>
      </c>
      <c r="K244">
        <v>43</v>
      </c>
      <c r="L244" s="7">
        <v>59</v>
      </c>
      <c r="M244">
        <v>0</v>
      </c>
      <c r="N244">
        <v>6</v>
      </c>
      <c r="O244">
        <v>39</v>
      </c>
      <c r="P244" t="str">
        <f t="shared" si="6"/>
        <v>January</v>
      </c>
      <c r="Q244" t="str">
        <f t="shared" si="7"/>
        <v>Thursday</v>
      </c>
      <c r="R244" t="s">
        <v>105</v>
      </c>
    </row>
    <row r="245" spans="1:18">
      <c r="A245">
        <v>2025</v>
      </c>
      <c r="B245" t="s">
        <v>159</v>
      </c>
      <c r="C245" t="s">
        <v>32</v>
      </c>
      <c r="D245" t="s">
        <v>534</v>
      </c>
      <c r="E245" s="2">
        <v>45698</v>
      </c>
      <c r="F245" s="5" t="s">
        <v>535</v>
      </c>
      <c r="G245" t="s">
        <v>27</v>
      </c>
      <c r="H245" t="s">
        <v>67</v>
      </c>
      <c r="I245" t="s">
        <v>29</v>
      </c>
      <c r="J245" t="s">
        <v>22</v>
      </c>
      <c r="K245">
        <v>43</v>
      </c>
      <c r="L245" s="7">
        <v>57</v>
      </c>
      <c r="M245">
        <v>1</v>
      </c>
      <c r="N245">
        <v>2</v>
      </c>
      <c r="O245">
        <v>31</v>
      </c>
      <c r="P245" t="str">
        <f t="shared" si="6"/>
        <v>February</v>
      </c>
      <c r="Q245" t="str">
        <f t="shared" si="7"/>
        <v>Monday</v>
      </c>
      <c r="R245" t="s">
        <v>58</v>
      </c>
    </row>
    <row r="246" spans="1:18">
      <c r="A246">
        <v>2023</v>
      </c>
      <c r="B246" t="s">
        <v>31</v>
      </c>
      <c r="C246" t="s">
        <v>16</v>
      </c>
      <c r="D246" t="s">
        <v>536</v>
      </c>
      <c r="E246" s="2">
        <v>44987</v>
      </c>
      <c r="F246" s="5" t="s">
        <v>537</v>
      </c>
      <c r="G246" t="s">
        <v>19</v>
      </c>
      <c r="H246" t="s">
        <v>20</v>
      </c>
      <c r="I246" t="s">
        <v>44</v>
      </c>
      <c r="J246" t="s">
        <v>22</v>
      </c>
      <c r="K246">
        <v>51</v>
      </c>
      <c r="L246" s="7">
        <v>78</v>
      </c>
      <c r="M246">
        <v>2</v>
      </c>
      <c r="N246">
        <v>2</v>
      </c>
      <c r="O246">
        <v>24</v>
      </c>
      <c r="P246" t="str">
        <f t="shared" si="6"/>
        <v>March</v>
      </c>
      <c r="Q246" t="str">
        <f t="shared" si="7"/>
        <v>Thursday</v>
      </c>
      <c r="R246" t="s">
        <v>23</v>
      </c>
    </row>
    <row r="247" spans="1:18">
      <c r="A247">
        <v>2025</v>
      </c>
      <c r="B247" t="s">
        <v>131</v>
      </c>
      <c r="C247" t="s">
        <v>16</v>
      </c>
      <c r="D247" t="s">
        <v>538</v>
      </c>
      <c r="E247" s="2">
        <v>45827</v>
      </c>
      <c r="F247" s="5" t="s">
        <v>539</v>
      </c>
      <c r="G247" t="s">
        <v>27</v>
      </c>
      <c r="H247" t="s">
        <v>28</v>
      </c>
      <c r="I247" t="s">
        <v>44</v>
      </c>
      <c r="J247" t="s">
        <v>53</v>
      </c>
      <c r="K247">
        <v>34</v>
      </c>
      <c r="L247" s="7">
        <v>102</v>
      </c>
      <c r="M247">
        <v>1</v>
      </c>
      <c r="N247">
        <v>4</v>
      </c>
      <c r="O247">
        <v>22</v>
      </c>
      <c r="P247" t="str">
        <f t="shared" si="6"/>
        <v>June</v>
      </c>
      <c r="Q247" t="str">
        <f t="shared" si="7"/>
        <v>Thursday</v>
      </c>
      <c r="R247" t="s">
        <v>23</v>
      </c>
    </row>
    <row r="248" spans="1:18">
      <c r="A248">
        <v>2025</v>
      </c>
      <c r="B248" t="s">
        <v>156</v>
      </c>
      <c r="C248" t="s">
        <v>16</v>
      </c>
      <c r="D248" t="s">
        <v>540</v>
      </c>
      <c r="E248" s="2">
        <v>45937</v>
      </c>
      <c r="F248" s="5" t="s">
        <v>541</v>
      </c>
      <c r="G248" t="s">
        <v>49</v>
      </c>
      <c r="H248" t="s">
        <v>67</v>
      </c>
      <c r="I248" t="s">
        <v>29</v>
      </c>
      <c r="J248" t="s">
        <v>22</v>
      </c>
      <c r="K248">
        <v>62</v>
      </c>
      <c r="L248" s="7">
        <v>60</v>
      </c>
      <c r="M248">
        <v>0</v>
      </c>
      <c r="N248">
        <v>6</v>
      </c>
      <c r="O248">
        <v>15</v>
      </c>
      <c r="P248" t="str">
        <f t="shared" si="6"/>
        <v>October</v>
      </c>
      <c r="Q248" t="str">
        <f t="shared" si="7"/>
        <v>Tuesday</v>
      </c>
      <c r="R248" t="s">
        <v>37</v>
      </c>
    </row>
    <row r="249" spans="1:18">
      <c r="A249">
        <v>2023</v>
      </c>
      <c r="B249" t="s">
        <v>24</v>
      </c>
      <c r="C249" t="s">
        <v>16</v>
      </c>
      <c r="D249" t="s">
        <v>542</v>
      </c>
      <c r="E249" s="2">
        <v>45285</v>
      </c>
      <c r="F249" s="5" t="s">
        <v>543</v>
      </c>
      <c r="G249" t="s">
        <v>35</v>
      </c>
      <c r="H249" t="s">
        <v>67</v>
      </c>
      <c r="I249" t="s">
        <v>44</v>
      </c>
      <c r="J249" t="s">
        <v>22</v>
      </c>
      <c r="K249">
        <v>51</v>
      </c>
      <c r="L249" s="7">
        <v>90</v>
      </c>
      <c r="M249">
        <v>2</v>
      </c>
      <c r="N249">
        <v>5</v>
      </c>
      <c r="O249">
        <v>43</v>
      </c>
      <c r="P249" t="str">
        <f t="shared" si="6"/>
        <v>December</v>
      </c>
      <c r="Q249" t="str">
        <f t="shared" si="7"/>
        <v>Monday</v>
      </c>
      <c r="R249" t="s">
        <v>68</v>
      </c>
    </row>
    <row r="250" spans="1:18">
      <c r="A250">
        <v>2024</v>
      </c>
      <c r="B250" t="s">
        <v>175</v>
      </c>
      <c r="C250" t="s">
        <v>16</v>
      </c>
      <c r="D250" t="s">
        <v>544</v>
      </c>
      <c r="E250" s="2">
        <v>45508</v>
      </c>
      <c r="F250" s="5" t="s">
        <v>545</v>
      </c>
      <c r="G250" t="s">
        <v>19</v>
      </c>
      <c r="H250" t="s">
        <v>36</v>
      </c>
      <c r="I250" t="s">
        <v>21</v>
      </c>
      <c r="J250" t="s">
        <v>22</v>
      </c>
      <c r="K250">
        <v>63</v>
      </c>
      <c r="L250" s="7">
        <v>70</v>
      </c>
      <c r="M250">
        <v>5</v>
      </c>
      <c r="N250">
        <v>2</v>
      </c>
      <c r="O250">
        <v>43</v>
      </c>
      <c r="P250" t="str">
        <f t="shared" si="6"/>
        <v>August</v>
      </c>
      <c r="Q250" t="str">
        <f t="shared" si="7"/>
        <v>Sunday</v>
      </c>
      <c r="R250" t="s">
        <v>124</v>
      </c>
    </row>
    <row r="251" spans="1:18">
      <c r="A251">
        <v>2023</v>
      </c>
      <c r="B251" t="s">
        <v>54</v>
      </c>
      <c r="C251" t="s">
        <v>16</v>
      </c>
      <c r="D251" t="s">
        <v>546</v>
      </c>
      <c r="E251" s="2">
        <v>44967</v>
      </c>
      <c r="F251" s="5" t="s">
        <v>547</v>
      </c>
      <c r="G251" t="s">
        <v>27</v>
      </c>
      <c r="H251" t="s">
        <v>20</v>
      </c>
      <c r="I251" t="s">
        <v>44</v>
      </c>
      <c r="J251" t="s">
        <v>53</v>
      </c>
      <c r="K251">
        <v>30</v>
      </c>
      <c r="L251" s="7">
        <v>62</v>
      </c>
      <c r="M251">
        <v>5</v>
      </c>
      <c r="N251">
        <v>4</v>
      </c>
      <c r="O251">
        <v>20</v>
      </c>
      <c r="P251" t="str">
        <f t="shared" si="6"/>
        <v>February</v>
      </c>
      <c r="Q251" t="str">
        <f t="shared" si="7"/>
        <v>Friday</v>
      </c>
      <c r="R251" t="s">
        <v>58</v>
      </c>
    </row>
    <row r="252" spans="1:18">
      <c r="A252">
        <v>2022</v>
      </c>
      <c r="B252" t="s">
        <v>88</v>
      </c>
      <c r="C252" t="s">
        <v>16</v>
      </c>
      <c r="D252" t="s">
        <v>548</v>
      </c>
      <c r="E252" s="2">
        <v>44595</v>
      </c>
      <c r="F252" s="5" t="s">
        <v>549</v>
      </c>
      <c r="G252" t="s">
        <v>35</v>
      </c>
      <c r="H252" t="s">
        <v>20</v>
      </c>
      <c r="I252" t="s">
        <v>44</v>
      </c>
      <c r="J252" t="s">
        <v>22</v>
      </c>
      <c r="K252">
        <v>26</v>
      </c>
      <c r="L252" s="7">
        <v>65</v>
      </c>
      <c r="M252">
        <v>1</v>
      </c>
      <c r="N252">
        <v>6</v>
      </c>
      <c r="O252">
        <v>42</v>
      </c>
      <c r="P252" t="str">
        <f t="shared" si="6"/>
        <v>February</v>
      </c>
      <c r="Q252" t="str">
        <f t="shared" si="7"/>
        <v>Thursday</v>
      </c>
      <c r="R252" t="s">
        <v>68</v>
      </c>
    </row>
    <row r="253" spans="1:18">
      <c r="A253">
        <v>2025</v>
      </c>
      <c r="B253" t="s">
        <v>15</v>
      </c>
      <c r="C253" t="s">
        <v>32</v>
      </c>
      <c r="D253" t="s">
        <v>550</v>
      </c>
      <c r="E253" s="2">
        <v>45741</v>
      </c>
      <c r="F253" s="5" t="s">
        <v>140</v>
      </c>
      <c r="G253" t="s">
        <v>57</v>
      </c>
      <c r="H253" t="s">
        <v>36</v>
      </c>
      <c r="I253" t="s">
        <v>44</v>
      </c>
      <c r="J253" t="s">
        <v>22</v>
      </c>
      <c r="K253">
        <v>35</v>
      </c>
      <c r="L253" s="7">
        <v>59</v>
      </c>
      <c r="M253">
        <v>3</v>
      </c>
      <c r="N253">
        <v>0</v>
      </c>
      <c r="O253">
        <v>40</v>
      </c>
      <c r="P253" t="str">
        <f t="shared" si="6"/>
        <v>March</v>
      </c>
      <c r="Q253" t="str">
        <f t="shared" si="7"/>
        <v>Tuesday</v>
      </c>
      <c r="R253" t="s">
        <v>71</v>
      </c>
    </row>
    <row r="254" spans="1:18">
      <c r="A254">
        <v>2024</v>
      </c>
      <c r="B254" t="s">
        <v>41</v>
      </c>
      <c r="C254" t="s">
        <v>32</v>
      </c>
      <c r="D254" t="s">
        <v>551</v>
      </c>
      <c r="E254" s="2">
        <v>45636</v>
      </c>
      <c r="F254" s="5" t="s">
        <v>473</v>
      </c>
      <c r="G254" t="s">
        <v>35</v>
      </c>
      <c r="H254" t="s">
        <v>28</v>
      </c>
      <c r="I254" t="s">
        <v>29</v>
      </c>
      <c r="J254" t="s">
        <v>22</v>
      </c>
      <c r="K254">
        <v>44</v>
      </c>
      <c r="L254" s="7">
        <v>57</v>
      </c>
      <c r="M254">
        <v>1</v>
      </c>
      <c r="N254">
        <v>0</v>
      </c>
      <c r="O254">
        <v>19</v>
      </c>
      <c r="P254" t="str">
        <f t="shared" si="6"/>
        <v>December</v>
      </c>
      <c r="Q254" t="str">
        <f t="shared" si="7"/>
        <v>Tuesday</v>
      </c>
      <c r="R254" t="s">
        <v>45</v>
      </c>
    </row>
    <row r="255" spans="1:18">
      <c r="A255">
        <v>2025</v>
      </c>
      <c r="B255" t="s">
        <v>172</v>
      </c>
      <c r="C255" t="s">
        <v>32</v>
      </c>
      <c r="D255" t="s">
        <v>552</v>
      </c>
      <c r="E255" s="2">
        <v>45855</v>
      </c>
      <c r="F255" s="5" t="s">
        <v>553</v>
      </c>
      <c r="G255" t="s">
        <v>57</v>
      </c>
      <c r="H255" t="s">
        <v>28</v>
      </c>
      <c r="I255" t="s">
        <v>44</v>
      </c>
      <c r="J255" t="s">
        <v>22</v>
      </c>
      <c r="K255">
        <v>44</v>
      </c>
      <c r="L255" s="7">
        <v>76</v>
      </c>
      <c r="M255">
        <v>4</v>
      </c>
      <c r="N255">
        <v>3</v>
      </c>
      <c r="O255">
        <v>20</v>
      </c>
      <c r="P255" t="str">
        <f t="shared" si="6"/>
        <v>July</v>
      </c>
      <c r="Q255" t="str">
        <f t="shared" si="7"/>
        <v>Thursday</v>
      </c>
      <c r="R255" t="s">
        <v>14</v>
      </c>
    </row>
    <row r="256" spans="1:18">
      <c r="A256">
        <v>2024</v>
      </c>
      <c r="B256" t="s">
        <v>175</v>
      </c>
      <c r="C256" t="s">
        <v>32</v>
      </c>
      <c r="D256" t="s">
        <v>554</v>
      </c>
      <c r="E256" s="2">
        <v>45551</v>
      </c>
      <c r="F256" s="5" t="s">
        <v>555</v>
      </c>
      <c r="G256" t="s">
        <v>49</v>
      </c>
      <c r="H256" t="s">
        <v>28</v>
      </c>
      <c r="I256" t="s">
        <v>44</v>
      </c>
      <c r="J256" t="s">
        <v>53</v>
      </c>
      <c r="K256">
        <v>41</v>
      </c>
      <c r="L256" s="7">
        <v>84</v>
      </c>
      <c r="M256">
        <v>0</v>
      </c>
      <c r="N256">
        <v>6</v>
      </c>
      <c r="O256">
        <v>28</v>
      </c>
      <c r="P256" t="str">
        <f t="shared" si="6"/>
        <v>September</v>
      </c>
      <c r="Q256" t="str">
        <f t="shared" si="7"/>
        <v>Monday</v>
      </c>
      <c r="R256" t="s">
        <v>37</v>
      </c>
    </row>
    <row r="257" spans="1:18">
      <c r="A257">
        <v>2025</v>
      </c>
      <c r="B257" t="s">
        <v>159</v>
      </c>
      <c r="C257" t="s">
        <v>32</v>
      </c>
      <c r="D257" t="s">
        <v>556</v>
      </c>
      <c r="E257" s="2">
        <v>45663</v>
      </c>
      <c r="F257" s="5" t="s">
        <v>557</v>
      </c>
      <c r="G257" t="s">
        <v>27</v>
      </c>
      <c r="H257" t="s">
        <v>20</v>
      </c>
      <c r="I257" t="s">
        <v>21</v>
      </c>
      <c r="J257" t="s">
        <v>53</v>
      </c>
      <c r="K257">
        <v>57</v>
      </c>
      <c r="L257" s="7">
        <v>108</v>
      </c>
      <c r="M257">
        <v>4</v>
      </c>
      <c r="N257">
        <v>6</v>
      </c>
      <c r="O257">
        <v>41</v>
      </c>
      <c r="P257" t="str">
        <f t="shared" si="6"/>
        <v>January</v>
      </c>
      <c r="Q257" t="str">
        <f t="shared" si="7"/>
        <v>Monday</v>
      </c>
      <c r="R257" t="s">
        <v>14</v>
      </c>
    </row>
    <row r="258" spans="1:18">
      <c r="A258">
        <v>2025</v>
      </c>
      <c r="B258" t="s">
        <v>100</v>
      </c>
      <c r="C258" t="s">
        <v>32</v>
      </c>
      <c r="D258" t="s">
        <v>558</v>
      </c>
      <c r="E258" s="2">
        <v>45770</v>
      </c>
      <c r="F258" s="5" t="s">
        <v>559</v>
      </c>
      <c r="G258" t="s">
        <v>27</v>
      </c>
      <c r="H258" t="s">
        <v>36</v>
      </c>
      <c r="I258" t="s">
        <v>21</v>
      </c>
      <c r="J258" t="s">
        <v>22</v>
      </c>
      <c r="K258">
        <v>36</v>
      </c>
      <c r="L258" s="7">
        <v>53</v>
      </c>
      <c r="M258">
        <v>0</v>
      </c>
      <c r="N258">
        <v>2</v>
      </c>
      <c r="O258">
        <v>38</v>
      </c>
      <c r="P258" t="str">
        <f t="shared" si="6"/>
        <v>April</v>
      </c>
      <c r="Q258" t="str">
        <f t="shared" si="7"/>
        <v>Wednesday</v>
      </c>
      <c r="R258" t="s">
        <v>37</v>
      </c>
    </row>
    <row r="259" spans="1:18">
      <c r="A259">
        <v>2024</v>
      </c>
      <c r="B259" t="s">
        <v>144</v>
      </c>
      <c r="C259" t="s">
        <v>16</v>
      </c>
      <c r="D259" t="s">
        <v>560</v>
      </c>
      <c r="E259" s="2">
        <v>45345</v>
      </c>
      <c r="F259" s="5" t="s">
        <v>251</v>
      </c>
      <c r="G259" t="s">
        <v>57</v>
      </c>
      <c r="H259" t="s">
        <v>20</v>
      </c>
      <c r="I259" t="s">
        <v>21</v>
      </c>
      <c r="J259" t="s">
        <v>22</v>
      </c>
      <c r="K259">
        <v>33</v>
      </c>
      <c r="L259" s="7">
        <v>72</v>
      </c>
      <c r="M259">
        <v>3</v>
      </c>
      <c r="N259">
        <v>3</v>
      </c>
      <c r="O259">
        <v>45</v>
      </c>
      <c r="P259" t="str">
        <f t="shared" ref="P259:P322" si="8">TEXT(E259,"mmmm")</f>
        <v>February</v>
      </c>
      <c r="Q259" t="str">
        <f t="shared" ref="Q259:Q322" si="9">TEXT(E259,"dddd")</f>
        <v>Friday</v>
      </c>
      <c r="R259" t="s">
        <v>71</v>
      </c>
    </row>
    <row r="260" spans="1:18">
      <c r="A260">
        <v>2025</v>
      </c>
      <c r="B260" t="s">
        <v>88</v>
      </c>
      <c r="C260" t="s">
        <v>32</v>
      </c>
      <c r="D260" t="s">
        <v>561</v>
      </c>
      <c r="E260" s="2">
        <v>45875</v>
      </c>
      <c r="F260" s="5" t="s">
        <v>562</v>
      </c>
      <c r="G260" t="s">
        <v>49</v>
      </c>
      <c r="H260" t="s">
        <v>67</v>
      </c>
      <c r="I260" t="s">
        <v>44</v>
      </c>
      <c r="J260" t="s">
        <v>22</v>
      </c>
      <c r="K260">
        <v>32</v>
      </c>
      <c r="L260" s="7">
        <v>61</v>
      </c>
      <c r="M260">
        <v>2</v>
      </c>
      <c r="N260">
        <v>4</v>
      </c>
      <c r="O260">
        <v>34</v>
      </c>
      <c r="P260" t="str">
        <f t="shared" si="8"/>
        <v>August</v>
      </c>
      <c r="Q260" t="str">
        <f t="shared" si="9"/>
        <v>Wednesday</v>
      </c>
      <c r="R260" t="s">
        <v>30</v>
      </c>
    </row>
    <row r="261" spans="1:18">
      <c r="A261">
        <v>2022</v>
      </c>
      <c r="B261" t="s">
        <v>62</v>
      </c>
      <c r="C261" t="s">
        <v>32</v>
      </c>
      <c r="D261" t="s">
        <v>563</v>
      </c>
      <c r="E261" s="2">
        <v>44800</v>
      </c>
      <c r="F261" s="5" t="s">
        <v>564</v>
      </c>
      <c r="G261" t="s">
        <v>57</v>
      </c>
      <c r="H261" t="s">
        <v>36</v>
      </c>
      <c r="I261" t="s">
        <v>21</v>
      </c>
      <c r="J261" t="s">
        <v>22</v>
      </c>
      <c r="K261">
        <v>55</v>
      </c>
      <c r="L261" s="7">
        <v>102</v>
      </c>
      <c r="M261">
        <v>3</v>
      </c>
      <c r="N261">
        <v>1</v>
      </c>
      <c r="O261">
        <v>24</v>
      </c>
      <c r="P261" t="str">
        <f t="shared" si="8"/>
        <v>August</v>
      </c>
      <c r="Q261" t="str">
        <f t="shared" si="9"/>
        <v>Saturday</v>
      </c>
      <c r="R261" t="s">
        <v>14</v>
      </c>
    </row>
    <row r="262" spans="1:18">
      <c r="A262">
        <v>2022</v>
      </c>
      <c r="B262" t="s">
        <v>59</v>
      </c>
      <c r="C262" t="s">
        <v>16</v>
      </c>
      <c r="D262" t="s">
        <v>565</v>
      </c>
      <c r="E262" s="2">
        <v>44572</v>
      </c>
      <c r="F262" s="5" t="s">
        <v>566</v>
      </c>
      <c r="G262" t="s">
        <v>19</v>
      </c>
      <c r="H262" t="s">
        <v>28</v>
      </c>
      <c r="I262" t="s">
        <v>21</v>
      </c>
      <c r="J262" t="s">
        <v>22</v>
      </c>
      <c r="K262">
        <v>31</v>
      </c>
      <c r="L262" s="7">
        <v>45</v>
      </c>
      <c r="M262">
        <v>2</v>
      </c>
      <c r="N262">
        <v>4</v>
      </c>
      <c r="O262">
        <v>28</v>
      </c>
      <c r="P262" t="str">
        <f t="shared" si="8"/>
        <v>January</v>
      </c>
      <c r="Q262" t="str">
        <f t="shared" si="9"/>
        <v>Tuesday</v>
      </c>
      <c r="R262" t="s">
        <v>23</v>
      </c>
    </row>
    <row r="263" spans="1:18">
      <c r="A263">
        <v>2023</v>
      </c>
      <c r="B263" t="s">
        <v>156</v>
      </c>
      <c r="C263" t="s">
        <v>32</v>
      </c>
      <c r="D263" t="s">
        <v>567</v>
      </c>
      <c r="E263" s="2">
        <v>45247</v>
      </c>
      <c r="F263" s="5" t="s">
        <v>146</v>
      </c>
      <c r="G263" t="s">
        <v>35</v>
      </c>
      <c r="H263" t="s">
        <v>67</v>
      </c>
      <c r="I263" t="s">
        <v>44</v>
      </c>
      <c r="J263" t="s">
        <v>22</v>
      </c>
      <c r="K263">
        <v>40</v>
      </c>
      <c r="L263" s="7">
        <v>53</v>
      </c>
      <c r="M263">
        <v>1</v>
      </c>
      <c r="N263">
        <v>5</v>
      </c>
      <c r="O263">
        <v>20</v>
      </c>
      <c r="P263" t="str">
        <f t="shared" si="8"/>
        <v>November</v>
      </c>
      <c r="Q263" t="str">
        <f t="shared" si="9"/>
        <v>Friday</v>
      </c>
      <c r="R263" t="s">
        <v>124</v>
      </c>
    </row>
    <row r="264" spans="1:18">
      <c r="A264">
        <v>2024</v>
      </c>
      <c r="B264" t="s">
        <v>41</v>
      </c>
      <c r="C264" t="s">
        <v>16</v>
      </c>
      <c r="D264" t="s">
        <v>568</v>
      </c>
      <c r="E264" s="2">
        <v>45441</v>
      </c>
      <c r="F264" s="5" t="s">
        <v>569</v>
      </c>
      <c r="G264" t="s">
        <v>19</v>
      </c>
      <c r="H264" t="s">
        <v>36</v>
      </c>
      <c r="I264" t="s">
        <v>29</v>
      </c>
      <c r="J264" t="s">
        <v>22</v>
      </c>
      <c r="K264">
        <v>50</v>
      </c>
      <c r="L264" s="7">
        <v>76</v>
      </c>
      <c r="M264">
        <v>4</v>
      </c>
      <c r="N264">
        <v>1</v>
      </c>
      <c r="O264">
        <v>38</v>
      </c>
      <c r="P264" t="str">
        <f t="shared" si="8"/>
        <v>May</v>
      </c>
      <c r="Q264" t="str">
        <f t="shared" si="9"/>
        <v>Wednesday</v>
      </c>
      <c r="R264" t="s">
        <v>71</v>
      </c>
    </row>
    <row r="265" spans="1:18">
      <c r="A265">
        <v>2023</v>
      </c>
      <c r="B265" t="s">
        <v>156</v>
      </c>
      <c r="C265" t="s">
        <v>32</v>
      </c>
      <c r="D265" t="s">
        <v>570</v>
      </c>
      <c r="E265" s="2">
        <v>45227</v>
      </c>
      <c r="F265" s="5" t="s">
        <v>571</v>
      </c>
      <c r="G265" t="s">
        <v>19</v>
      </c>
      <c r="H265" t="s">
        <v>20</v>
      </c>
      <c r="I265" t="s">
        <v>21</v>
      </c>
      <c r="J265" t="s">
        <v>53</v>
      </c>
      <c r="K265">
        <v>25</v>
      </c>
      <c r="L265" s="7">
        <v>73</v>
      </c>
      <c r="M265">
        <v>1</v>
      </c>
      <c r="N265">
        <v>2</v>
      </c>
      <c r="O265">
        <v>32</v>
      </c>
      <c r="P265" t="str">
        <f t="shared" si="8"/>
        <v>October</v>
      </c>
      <c r="Q265" t="str">
        <f t="shared" si="9"/>
        <v>Saturday</v>
      </c>
      <c r="R265" t="s">
        <v>71</v>
      </c>
    </row>
    <row r="266" spans="1:18">
      <c r="A266">
        <v>2026</v>
      </c>
      <c r="B266" t="s">
        <v>277</v>
      </c>
      <c r="C266" t="s">
        <v>32</v>
      </c>
      <c r="D266" t="s">
        <v>572</v>
      </c>
      <c r="E266" s="2">
        <v>46054</v>
      </c>
      <c r="F266" s="5" t="s">
        <v>573</v>
      </c>
      <c r="G266" t="s">
        <v>27</v>
      </c>
      <c r="H266" t="s">
        <v>67</v>
      </c>
      <c r="I266" t="s">
        <v>44</v>
      </c>
      <c r="J266" t="s">
        <v>22</v>
      </c>
      <c r="K266">
        <v>27</v>
      </c>
      <c r="L266" s="7">
        <v>120</v>
      </c>
      <c r="M266">
        <v>1</v>
      </c>
      <c r="N266">
        <v>4</v>
      </c>
      <c r="O266">
        <v>30</v>
      </c>
      <c r="P266" t="str">
        <f t="shared" si="8"/>
        <v>February</v>
      </c>
      <c r="Q266" t="str">
        <f t="shared" si="9"/>
        <v>Sunday</v>
      </c>
      <c r="R266" t="s">
        <v>23</v>
      </c>
    </row>
    <row r="267" spans="1:18">
      <c r="A267">
        <v>2022</v>
      </c>
      <c r="B267" t="s">
        <v>82</v>
      </c>
      <c r="C267" t="s">
        <v>16</v>
      </c>
      <c r="D267" t="s">
        <v>574</v>
      </c>
      <c r="E267" s="2">
        <v>44687</v>
      </c>
      <c r="F267" s="5" t="s">
        <v>575</v>
      </c>
      <c r="G267" t="s">
        <v>35</v>
      </c>
      <c r="H267" t="s">
        <v>28</v>
      </c>
      <c r="I267" t="s">
        <v>21</v>
      </c>
      <c r="J267" t="s">
        <v>53</v>
      </c>
      <c r="K267">
        <v>51</v>
      </c>
      <c r="L267" s="7">
        <v>120</v>
      </c>
      <c r="M267">
        <v>3</v>
      </c>
      <c r="N267">
        <v>0</v>
      </c>
      <c r="O267">
        <v>27</v>
      </c>
      <c r="P267" t="str">
        <f t="shared" si="8"/>
        <v>May</v>
      </c>
      <c r="Q267" t="str">
        <f t="shared" si="9"/>
        <v>Friday</v>
      </c>
      <c r="R267" t="s">
        <v>124</v>
      </c>
    </row>
    <row r="268" spans="1:18">
      <c r="A268">
        <v>2023</v>
      </c>
      <c r="B268" t="s">
        <v>172</v>
      </c>
      <c r="C268" t="s">
        <v>16</v>
      </c>
      <c r="D268" t="s">
        <v>576</v>
      </c>
      <c r="E268" s="2">
        <v>45085</v>
      </c>
      <c r="F268" s="5" t="s">
        <v>577</v>
      </c>
      <c r="G268" t="s">
        <v>57</v>
      </c>
      <c r="H268" t="s">
        <v>36</v>
      </c>
      <c r="I268" t="s">
        <v>44</v>
      </c>
      <c r="J268" t="s">
        <v>53</v>
      </c>
      <c r="K268">
        <v>38</v>
      </c>
      <c r="L268" s="7">
        <v>78</v>
      </c>
      <c r="M268">
        <v>1</v>
      </c>
      <c r="N268">
        <v>1</v>
      </c>
      <c r="O268">
        <v>12</v>
      </c>
      <c r="P268" t="str">
        <f t="shared" si="8"/>
        <v>June</v>
      </c>
      <c r="Q268" t="str">
        <f t="shared" si="9"/>
        <v>Thursday</v>
      </c>
      <c r="R268" t="s">
        <v>105</v>
      </c>
    </row>
    <row r="269" spans="1:18">
      <c r="A269">
        <v>2025</v>
      </c>
      <c r="B269" t="s">
        <v>77</v>
      </c>
      <c r="C269" t="s">
        <v>16</v>
      </c>
      <c r="D269" t="s">
        <v>578</v>
      </c>
      <c r="E269" s="2">
        <v>45948</v>
      </c>
      <c r="F269" s="5" t="s">
        <v>579</v>
      </c>
      <c r="G269" t="s">
        <v>35</v>
      </c>
      <c r="H269" t="s">
        <v>67</v>
      </c>
      <c r="I269" t="s">
        <v>21</v>
      </c>
      <c r="J269" t="s">
        <v>53</v>
      </c>
      <c r="K269">
        <v>27</v>
      </c>
      <c r="L269" s="7">
        <v>75</v>
      </c>
      <c r="M269">
        <v>4</v>
      </c>
      <c r="N269">
        <v>1</v>
      </c>
      <c r="O269">
        <v>12</v>
      </c>
      <c r="P269" t="str">
        <f t="shared" si="8"/>
        <v>October</v>
      </c>
      <c r="Q269" t="str">
        <f t="shared" si="9"/>
        <v>Saturday</v>
      </c>
      <c r="R269" t="s">
        <v>105</v>
      </c>
    </row>
    <row r="270" spans="1:18">
      <c r="A270">
        <v>2023</v>
      </c>
      <c r="B270" t="s">
        <v>82</v>
      </c>
      <c r="C270" t="s">
        <v>32</v>
      </c>
      <c r="D270" t="s">
        <v>580</v>
      </c>
      <c r="E270" s="2">
        <v>45098</v>
      </c>
      <c r="F270" s="5" t="s">
        <v>581</v>
      </c>
      <c r="G270" t="s">
        <v>49</v>
      </c>
      <c r="H270" t="s">
        <v>28</v>
      </c>
      <c r="I270" t="s">
        <v>44</v>
      </c>
      <c r="J270" t="s">
        <v>53</v>
      </c>
      <c r="K270">
        <v>45</v>
      </c>
      <c r="L270" s="7">
        <v>95</v>
      </c>
      <c r="M270">
        <v>3</v>
      </c>
      <c r="N270">
        <v>2</v>
      </c>
      <c r="O270">
        <v>35</v>
      </c>
      <c r="P270" t="str">
        <f t="shared" si="8"/>
        <v>June</v>
      </c>
      <c r="Q270" t="str">
        <f t="shared" si="9"/>
        <v>Wednesday</v>
      </c>
      <c r="R270" t="s">
        <v>14</v>
      </c>
    </row>
    <row r="271" spans="1:18">
      <c r="A271">
        <v>2024</v>
      </c>
      <c r="B271" t="s">
        <v>85</v>
      </c>
      <c r="C271" t="s">
        <v>32</v>
      </c>
      <c r="D271" t="s">
        <v>582</v>
      </c>
      <c r="E271" s="2">
        <v>45352</v>
      </c>
      <c r="F271" s="5" t="s">
        <v>583</v>
      </c>
      <c r="G271" t="s">
        <v>57</v>
      </c>
      <c r="H271" t="s">
        <v>67</v>
      </c>
      <c r="I271" t="s">
        <v>21</v>
      </c>
      <c r="J271" t="s">
        <v>53</v>
      </c>
      <c r="K271">
        <v>57</v>
      </c>
      <c r="L271" s="7">
        <v>65</v>
      </c>
      <c r="M271">
        <v>5</v>
      </c>
      <c r="N271">
        <v>5</v>
      </c>
      <c r="O271">
        <v>44</v>
      </c>
      <c r="P271" t="str">
        <f t="shared" si="8"/>
        <v>March</v>
      </c>
      <c r="Q271" t="str">
        <f t="shared" si="9"/>
        <v>Friday</v>
      </c>
      <c r="R271" t="s">
        <v>58</v>
      </c>
    </row>
    <row r="272" spans="1:18">
      <c r="A272">
        <v>2023</v>
      </c>
      <c r="B272" t="s">
        <v>131</v>
      </c>
      <c r="C272" t="s">
        <v>16</v>
      </c>
      <c r="D272" t="s">
        <v>584</v>
      </c>
      <c r="E272" s="2">
        <v>44929</v>
      </c>
      <c r="F272" s="5" t="s">
        <v>319</v>
      </c>
      <c r="G272" t="s">
        <v>35</v>
      </c>
      <c r="H272" t="s">
        <v>67</v>
      </c>
      <c r="I272" t="s">
        <v>29</v>
      </c>
      <c r="J272" t="s">
        <v>53</v>
      </c>
      <c r="K272">
        <v>26</v>
      </c>
      <c r="L272" s="7">
        <v>112</v>
      </c>
      <c r="M272">
        <v>3</v>
      </c>
      <c r="N272">
        <v>6</v>
      </c>
      <c r="O272">
        <v>31</v>
      </c>
      <c r="P272" t="str">
        <f t="shared" si="8"/>
        <v>January</v>
      </c>
      <c r="Q272" t="str">
        <f t="shared" si="9"/>
        <v>Tuesday</v>
      </c>
      <c r="R272" t="s">
        <v>58</v>
      </c>
    </row>
    <row r="273" spans="1:18">
      <c r="A273">
        <v>2025</v>
      </c>
      <c r="B273" t="s">
        <v>141</v>
      </c>
      <c r="C273" t="s">
        <v>16</v>
      </c>
      <c r="D273" t="s">
        <v>585</v>
      </c>
      <c r="E273" s="2">
        <v>45719</v>
      </c>
      <c r="F273" s="5" t="s">
        <v>586</v>
      </c>
      <c r="G273" t="s">
        <v>35</v>
      </c>
      <c r="H273" t="s">
        <v>28</v>
      </c>
      <c r="I273" t="s">
        <v>21</v>
      </c>
      <c r="J273" t="s">
        <v>22</v>
      </c>
      <c r="K273">
        <v>37</v>
      </c>
      <c r="L273" s="7">
        <v>97</v>
      </c>
      <c r="M273">
        <v>0</v>
      </c>
      <c r="N273">
        <v>4</v>
      </c>
      <c r="O273">
        <v>38</v>
      </c>
      <c r="P273" t="str">
        <f t="shared" si="8"/>
        <v>March</v>
      </c>
      <c r="Q273" t="str">
        <f t="shared" si="9"/>
        <v>Monday</v>
      </c>
      <c r="R273" t="s">
        <v>23</v>
      </c>
    </row>
    <row r="274" spans="1:18">
      <c r="A274">
        <v>2024</v>
      </c>
      <c r="B274" t="s">
        <v>15</v>
      </c>
      <c r="C274" t="s">
        <v>32</v>
      </c>
      <c r="D274" t="s">
        <v>587</v>
      </c>
      <c r="E274" s="2">
        <v>45424</v>
      </c>
      <c r="F274" s="5" t="s">
        <v>588</v>
      </c>
      <c r="G274" t="s">
        <v>27</v>
      </c>
      <c r="H274" t="s">
        <v>67</v>
      </c>
      <c r="I274" t="s">
        <v>29</v>
      </c>
      <c r="J274" t="s">
        <v>22</v>
      </c>
      <c r="K274">
        <v>29</v>
      </c>
      <c r="L274" s="7">
        <v>82</v>
      </c>
      <c r="M274">
        <v>3</v>
      </c>
      <c r="N274">
        <v>1</v>
      </c>
      <c r="O274">
        <v>11</v>
      </c>
      <c r="P274" t="str">
        <f t="shared" si="8"/>
        <v>May</v>
      </c>
      <c r="Q274" t="str">
        <f t="shared" si="9"/>
        <v>Sunday</v>
      </c>
      <c r="R274" t="s">
        <v>124</v>
      </c>
    </row>
    <row r="275" spans="1:18">
      <c r="A275">
        <v>2026</v>
      </c>
      <c r="B275" t="s">
        <v>15</v>
      </c>
      <c r="C275" t="s">
        <v>16</v>
      </c>
      <c r="D275" t="s">
        <v>589</v>
      </c>
      <c r="E275" s="2">
        <v>46056</v>
      </c>
      <c r="F275" s="5" t="s">
        <v>590</v>
      </c>
      <c r="G275" t="s">
        <v>27</v>
      </c>
      <c r="H275" t="s">
        <v>28</v>
      </c>
      <c r="I275" t="s">
        <v>44</v>
      </c>
      <c r="J275" t="s">
        <v>53</v>
      </c>
      <c r="K275">
        <v>21</v>
      </c>
      <c r="L275" s="7">
        <v>40</v>
      </c>
      <c r="M275">
        <v>1</v>
      </c>
      <c r="N275">
        <v>1</v>
      </c>
      <c r="O275">
        <v>38</v>
      </c>
      <c r="P275" t="str">
        <f t="shared" si="8"/>
        <v>February</v>
      </c>
      <c r="Q275" t="str">
        <f t="shared" si="9"/>
        <v>Tuesday</v>
      </c>
      <c r="R275" t="s">
        <v>58</v>
      </c>
    </row>
    <row r="276" spans="1:18">
      <c r="A276">
        <v>2024</v>
      </c>
      <c r="B276" t="s">
        <v>46</v>
      </c>
      <c r="C276" t="s">
        <v>32</v>
      </c>
      <c r="D276" t="s">
        <v>591</v>
      </c>
      <c r="E276" s="2">
        <v>45452</v>
      </c>
      <c r="F276" s="5" t="s">
        <v>592</v>
      </c>
      <c r="G276" t="s">
        <v>35</v>
      </c>
      <c r="H276" t="s">
        <v>36</v>
      </c>
      <c r="I276" t="s">
        <v>44</v>
      </c>
      <c r="J276" t="s">
        <v>22</v>
      </c>
      <c r="K276">
        <v>55</v>
      </c>
      <c r="L276" s="7">
        <v>92</v>
      </c>
      <c r="M276">
        <v>3</v>
      </c>
      <c r="N276">
        <v>5</v>
      </c>
      <c r="O276">
        <v>23</v>
      </c>
      <c r="P276" t="str">
        <f t="shared" si="8"/>
        <v>June</v>
      </c>
      <c r="Q276" t="str">
        <f t="shared" si="9"/>
        <v>Sunday</v>
      </c>
      <c r="R276" t="s">
        <v>71</v>
      </c>
    </row>
    <row r="277" spans="1:18">
      <c r="A277">
        <v>2022</v>
      </c>
      <c r="B277" t="s">
        <v>93</v>
      </c>
      <c r="C277" t="s">
        <v>16</v>
      </c>
      <c r="D277" t="s">
        <v>593</v>
      </c>
      <c r="E277" s="2">
        <v>44866</v>
      </c>
      <c r="F277" s="5" t="s">
        <v>594</v>
      </c>
      <c r="G277" t="s">
        <v>49</v>
      </c>
      <c r="H277" t="s">
        <v>28</v>
      </c>
      <c r="I277" t="s">
        <v>21</v>
      </c>
      <c r="J277" t="s">
        <v>22</v>
      </c>
      <c r="K277">
        <v>40</v>
      </c>
      <c r="L277" s="7">
        <v>86</v>
      </c>
      <c r="M277">
        <v>0</v>
      </c>
      <c r="N277">
        <v>3</v>
      </c>
      <c r="O277">
        <v>21</v>
      </c>
      <c r="P277" t="str">
        <f t="shared" si="8"/>
        <v>November</v>
      </c>
      <c r="Q277" t="str">
        <f t="shared" si="9"/>
        <v>Tuesday</v>
      </c>
      <c r="R277" t="s">
        <v>14</v>
      </c>
    </row>
    <row r="278" spans="1:18">
      <c r="A278">
        <v>2025</v>
      </c>
      <c r="B278" t="s">
        <v>77</v>
      </c>
      <c r="C278" t="s">
        <v>32</v>
      </c>
      <c r="D278" t="s">
        <v>595</v>
      </c>
      <c r="E278" s="2">
        <v>45738</v>
      </c>
      <c r="F278" s="5" t="s">
        <v>596</v>
      </c>
      <c r="G278" t="s">
        <v>27</v>
      </c>
      <c r="H278" t="s">
        <v>36</v>
      </c>
      <c r="I278" t="s">
        <v>44</v>
      </c>
      <c r="J278" t="s">
        <v>22</v>
      </c>
      <c r="K278">
        <v>57</v>
      </c>
      <c r="L278" s="7">
        <v>108</v>
      </c>
      <c r="M278">
        <v>2</v>
      </c>
      <c r="N278">
        <v>4</v>
      </c>
      <c r="O278">
        <v>44</v>
      </c>
      <c r="P278" t="str">
        <f t="shared" si="8"/>
        <v>March</v>
      </c>
      <c r="Q278" t="str">
        <f t="shared" si="9"/>
        <v>Saturday</v>
      </c>
      <c r="R278" t="s">
        <v>23</v>
      </c>
    </row>
    <row r="279" spans="1:18">
      <c r="A279">
        <v>2022</v>
      </c>
      <c r="B279" t="s">
        <v>72</v>
      </c>
      <c r="C279" t="s">
        <v>32</v>
      </c>
      <c r="D279" t="s">
        <v>597</v>
      </c>
      <c r="E279" s="2">
        <v>44656</v>
      </c>
      <c r="F279" s="5" t="s">
        <v>598</v>
      </c>
      <c r="G279" t="s">
        <v>35</v>
      </c>
      <c r="H279" t="s">
        <v>20</v>
      </c>
      <c r="I279" t="s">
        <v>29</v>
      </c>
      <c r="J279" t="s">
        <v>22</v>
      </c>
      <c r="K279">
        <v>62</v>
      </c>
      <c r="L279" s="7">
        <v>48</v>
      </c>
      <c r="M279">
        <v>3</v>
      </c>
      <c r="N279">
        <v>6</v>
      </c>
      <c r="O279">
        <v>45</v>
      </c>
      <c r="P279" t="str">
        <f t="shared" si="8"/>
        <v>April</v>
      </c>
      <c r="Q279" t="str">
        <f t="shared" si="9"/>
        <v>Tuesday</v>
      </c>
      <c r="R279" t="s">
        <v>105</v>
      </c>
    </row>
    <row r="280" spans="1:18">
      <c r="A280">
        <v>2022</v>
      </c>
      <c r="B280" t="s">
        <v>156</v>
      </c>
      <c r="C280" t="s">
        <v>32</v>
      </c>
      <c r="D280" t="s">
        <v>599</v>
      </c>
      <c r="E280" s="2">
        <v>44606</v>
      </c>
      <c r="F280" s="5" t="s">
        <v>547</v>
      </c>
      <c r="G280" t="s">
        <v>57</v>
      </c>
      <c r="H280" t="s">
        <v>28</v>
      </c>
      <c r="I280" t="s">
        <v>44</v>
      </c>
      <c r="J280" t="s">
        <v>53</v>
      </c>
      <c r="K280">
        <v>54</v>
      </c>
      <c r="L280" s="7">
        <v>103</v>
      </c>
      <c r="M280">
        <v>5</v>
      </c>
      <c r="N280">
        <v>6</v>
      </c>
      <c r="O280">
        <v>25</v>
      </c>
      <c r="P280" t="str">
        <f t="shared" si="8"/>
        <v>February</v>
      </c>
      <c r="Q280" t="str">
        <f t="shared" si="9"/>
        <v>Monday</v>
      </c>
      <c r="R280" t="s">
        <v>105</v>
      </c>
    </row>
    <row r="281" spans="1:18">
      <c r="A281">
        <v>2025</v>
      </c>
      <c r="B281" t="s">
        <v>72</v>
      </c>
      <c r="C281" t="s">
        <v>16</v>
      </c>
      <c r="D281" t="s">
        <v>600</v>
      </c>
      <c r="E281" s="2">
        <v>45842</v>
      </c>
      <c r="F281" s="5" t="s">
        <v>601</v>
      </c>
      <c r="G281" t="s">
        <v>49</v>
      </c>
      <c r="H281" t="s">
        <v>20</v>
      </c>
      <c r="I281" t="s">
        <v>21</v>
      </c>
      <c r="J281" t="s">
        <v>22</v>
      </c>
      <c r="K281">
        <v>58</v>
      </c>
      <c r="L281" s="7">
        <v>113</v>
      </c>
      <c r="M281">
        <v>5</v>
      </c>
      <c r="N281">
        <v>6</v>
      </c>
      <c r="O281">
        <v>33</v>
      </c>
      <c r="P281" t="str">
        <f t="shared" si="8"/>
        <v>July</v>
      </c>
      <c r="Q281" t="str">
        <f t="shared" si="9"/>
        <v>Friday</v>
      </c>
      <c r="R281" t="s">
        <v>45</v>
      </c>
    </row>
    <row r="282" spans="1:18">
      <c r="A282">
        <v>2024</v>
      </c>
      <c r="B282" t="s">
        <v>172</v>
      </c>
      <c r="C282" t="s">
        <v>32</v>
      </c>
      <c r="D282" t="s">
        <v>602</v>
      </c>
      <c r="E282" s="2">
        <v>45580</v>
      </c>
      <c r="F282" s="5" t="s">
        <v>603</v>
      </c>
      <c r="G282" t="s">
        <v>49</v>
      </c>
      <c r="H282" t="s">
        <v>67</v>
      </c>
      <c r="I282" t="s">
        <v>21</v>
      </c>
      <c r="J282" t="s">
        <v>53</v>
      </c>
      <c r="K282">
        <v>60</v>
      </c>
      <c r="L282" s="7">
        <v>107</v>
      </c>
      <c r="M282">
        <v>3</v>
      </c>
      <c r="N282">
        <v>3</v>
      </c>
      <c r="O282">
        <v>31</v>
      </c>
      <c r="P282" t="str">
        <f t="shared" si="8"/>
        <v>October</v>
      </c>
      <c r="Q282" t="str">
        <f t="shared" si="9"/>
        <v>Tuesday</v>
      </c>
      <c r="R282" t="s">
        <v>71</v>
      </c>
    </row>
    <row r="283" spans="1:18">
      <c r="A283">
        <v>2024</v>
      </c>
      <c r="B283" t="s">
        <v>100</v>
      </c>
      <c r="C283" t="s">
        <v>16</v>
      </c>
      <c r="D283" t="s">
        <v>604</v>
      </c>
      <c r="E283" s="2">
        <v>45550</v>
      </c>
      <c r="F283" s="5" t="s">
        <v>48</v>
      </c>
      <c r="G283" t="s">
        <v>57</v>
      </c>
      <c r="H283" t="s">
        <v>20</v>
      </c>
      <c r="I283" t="s">
        <v>44</v>
      </c>
      <c r="J283" t="s">
        <v>22</v>
      </c>
      <c r="K283">
        <v>63</v>
      </c>
      <c r="L283" s="7">
        <v>115</v>
      </c>
      <c r="M283">
        <v>5</v>
      </c>
      <c r="N283">
        <v>5</v>
      </c>
      <c r="O283">
        <v>15</v>
      </c>
      <c r="P283" t="str">
        <f t="shared" si="8"/>
        <v>September</v>
      </c>
      <c r="Q283" t="str">
        <f t="shared" si="9"/>
        <v>Sunday</v>
      </c>
      <c r="R283" t="s">
        <v>23</v>
      </c>
    </row>
    <row r="284" spans="1:18">
      <c r="A284">
        <v>2025</v>
      </c>
      <c r="B284" t="s">
        <v>77</v>
      </c>
      <c r="C284" t="s">
        <v>16</v>
      </c>
      <c r="D284" t="s">
        <v>605</v>
      </c>
      <c r="E284" s="2">
        <v>45854</v>
      </c>
      <c r="F284" s="5" t="s">
        <v>606</v>
      </c>
      <c r="G284" t="s">
        <v>19</v>
      </c>
      <c r="H284" t="s">
        <v>36</v>
      </c>
      <c r="I284" t="s">
        <v>29</v>
      </c>
      <c r="J284" t="s">
        <v>53</v>
      </c>
      <c r="K284">
        <v>62</v>
      </c>
      <c r="L284" s="7">
        <v>42</v>
      </c>
      <c r="M284">
        <v>1</v>
      </c>
      <c r="N284">
        <v>2</v>
      </c>
      <c r="O284">
        <v>28</v>
      </c>
      <c r="P284" t="str">
        <f t="shared" si="8"/>
        <v>July</v>
      </c>
      <c r="Q284" t="str">
        <f t="shared" si="9"/>
        <v>Wednesday</v>
      </c>
      <c r="R284" t="s">
        <v>45</v>
      </c>
    </row>
    <row r="285" spans="1:18">
      <c r="A285">
        <v>2023</v>
      </c>
      <c r="B285" t="s">
        <v>62</v>
      </c>
      <c r="C285" t="s">
        <v>16</v>
      </c>
      <c r="D285" t="s">
        <v>607</v>
      </c>
      <c r="E285" s="2">
        <v>45028</v>
      </c>
      <c r="F285" s="5" t="s">
        <v>608</v>
      </c>
      <c r="G285" t="s">
        <v>57</v>
      </c>
      <c r="H285" t="s">
        <v>67</v>
      </c>
      <c r="I285" t="s">
        <v>29</v>
      </c>
      <c r="J285" t="s">
        <v>22</v>
      </c>
      <c r="K285">
        <v>34</v>
      </c>
      <c r="L285" s="7">
        <v>90</v>
      </c>
      <c r="M285">
        <v>3</v>
      </c>
      <c r="N285">
        <v>4</v>
      </c>
      <c r="O285">
        <v>10</v>
      </c>
      <c r="P285" t="str">
        <f t="shared" si="8"/>
        <v>April</v>
      </c>
      <c r="Q285" t="str">
        <f t="shared" si="9"/>
        <v>Wednesday</v>
      </c>
      <c r="R285" t="s">
        <v>124</v>
      </c>
    </row>
    <row r="286" spans="1:18">
      <c r="A286">
        <v>2024</v>
      </c>
      <c r="B286" t="s">
        <v>15</v>
      </c>
      <c r="C286" t="s">
        <v>32</v>
      </c>
      <c r="D286" t="s">
        <v>609</v>
      </c>
      <c r="E286" s="2">
        <v>45565</v>
      </c>
      <c r="F286" s="5" t="s">
        <v>610</v>
      </c>
      <c r="G286" t="s">
        <v>35</v>
      </c>
      <c r="H286" t="s">
        <v>28</v>
      </c>
      <c r="I286" t="s">
        <v>44</v>
      </c>
      <c r="J286" t="s">
        <v>22</v>
      </c>
      <c r="K286">
        <v>54</v>
      </c>
      <c r="L286" s="7">
        <v>55</v>
      </c>
      <c r="M286">
        <v>4</v>
      </c>
      <c r="N286">
        <v>6</v>
      </c>
      <c r="O286">
        <v>44</v>
      </c>
      <c r="P286" t="str">
        <f t="shared" si="8"/>
        <v>September</v>
      </c>
      <c r="Q286" t="str">
        <f t="shared" si="9"/>
        <v>Monday</v>
      </c>
      <c r="R286" t="s">
        <v>30</v>
      </c>
    </row>
    <row r="287" spans="1:18">
      <c r="A287">
        <v>2025</v>
      </c>
      <c r="B287" t="s">
        <v>136</v>
      </c>
      <c r="C287" t="s">
        <v>16</v>
      </c>
      <c r="D287" t="s">
        <v>611</v>
      </c>
      <c r="E287" s="2">
        <v>45665</v>
      </c>
      <c r="F287" s="5" t="s">
        <v>612</v>
      </c>
      <c r="G287" t="s">
        <v>57</v>
      </c>
      <c r="H287" t="s">
        <v>28</v>
      </c>
      <c r="I287" t="s">
        <v>21</v>
      </c>
      <c r="J287" t="s">
        <v>22</v>
      </c>
      <c r="K287">
        <v>51</v>
      </c>
      <c r="L287" s="7">
        <v>97</v>
      </c>
      <c r="M287">
        <v>2</v>
      </c>
      <c r="N287">
        <v>2</v>
      </c>
      <c r="O287">
        <v>29</v>
      </c>
      <c r="P287" t="str">
        <f t="shared" si="8"/>
        <v>January</v>
      </c>
      <c r="Q287" t="str">
        <f t="shared" si="9"/>
        <v>Wednesday</v>
      </c>
      <c r="R287" t="s">
        <v>124</v>
      </c>
    </row>
    <row r="288" spans="1:18">
      <c r="A288">
        <v>2024</v>
      </c>
      <c r="B288" t="s">
        <v>141</v>
      </c>
      <c r="C288" t="s">
        <v>16</v>
      </c>
      <c r="D288" t="s">
        <v>613</v>
      </c>
      <c r="E288" s="2">
        <v>45654</v>
      </c>
      <c r="F288" s="5" t="s">
        <v>614</v>
      </c>
      <c r="G288" t="s">
        <v>49</v>
      </c>
      <c r="H288" t="s">
        <v>20</v>
      </c>
      <c r="I288" t="s">
        <v>44</v>
      </c>
      <c r="J288" t="s">
        <v>53</v>
      </c>
      <c r="K288">
        <v>37</v>
      </c>
      <c r="L288" s="7">
        <v>51</v>
      </c>
      <c r="M288">
        <v>3</v>
      </c>
      <c r="N288">
        <v>5</v>
      </c>
      <c r="O288">
        <v>28</v>
      </c>
      <c r="P288" t="str">
        <f t="shared" si="8"/>
        <v>December</v>
      </c>
      <c r="Q288" t="str">
        <f t="shared" si="9"/>
        <v>Saturday</v>
      </c>
      <c r="R288" t="s">
        <v>37</v>
      </c>
    </row>
    <row r="289" spans="1:18">
      <c r="A289">
        <v>2025</v>
      </c>
      <c r="B289" t="s">
        <v>62</v>
      </c>
      <c r="C289" t="s">
        <v>16</v>
      </c>
      <c r="D289" t="s">
        <v>615</v>
      </c>
      <c r="E289" s="2">
        <v>45667</v>
      </c>
      <c r="F289" s="5" t="s">
        <v>616</v>
      </c>
      <c r="G289" t="s">
        <v>57</v>
      </c>
      <c r="H289" t="s">
        <v>36</v>
      </c>
      <c r="I289" t="s">
        <v>29</v>
      </c>
      <c r="J289" t="s">
        <v>22</v>
      </c>
      <c r="K289">
        <v>40</v>
      </c>
      <c r="L289" s="7">
        <v>62</v>
      </c>
      <c r="M289">
        <v>5</v>
      </c>
      <c r="N289">
        <v>2</v>
      </c>
      <c r="O289">
        <v>33</v>
      </c>
      <c r="P289" t="str">
        <f t="shared" si="8"/>
        <v>January</v>
      </c>
      <c r="Q289" t="str">
        <f t="shared" si="9"/>
        <v>Friday</v>
      </c>
      <c r="R289" t="s">
        <v>37</v>
      </c>
    </row>
    <row r="290" spans="1:18">
      <c r="A290">
        <v>2025</v>
      </c>
      <c r="B290" t="s">
        <v>41</v>
      </c>
      <c r="C290" t="s">
        <v>32</v>
      </c>
      <c r="D290" t="s">
        <v>617</v>
      </c>
      <c r="E290" s="2">
        <v>45924</v>
      </c>
      <c r="F290" s="5" t="s">
        <v>354</v>
      </c>
      <c r="G290" t="s">
        <v>35</v>
      </c>
      <c r="H290" t="s">
        <v>28</v>
      </c>
      <c r="I290" t="s">
        <v>29</v>
      </c>
      <c r="J290" t="s">
        <v>22</v>
      </c>
      <c r="K290">
        <v>47</v>
      </c>
      <c r="L290" s="7">
        <v>112</v>
      </c>
      <c r="M290">
        <v>3</v>
      </c>
      <c r="N290">
        <v>1</v>
      </c>
      <c r="O290">
        <v>24</v>
      </c>
      <c r="P290" t="str">
        <f t="shared" si="8"/>
        <v>September</v>
      </c>
      <c r="Q290" t="str">
        <f t="shared" si="9"/>
        <v>Wednesday</v>
      </c>
      <c r="R290" t="s">
        <v>45</v>
      </c>
    </row>
    <row r="291" spans="1:18">
      <c r="A291">
        <v>2023</v>
      </c>
      <c r="B291" t="s">
        <v>156</v>
      </c>
      <c r="C291" t="s">
        <v>32</v>
      </c>
      <c r="D291" t="s">
        <v>618</v>
      </c>
      <c r="E291" s="2">
        <v>45148</v>
      </c>
      <c r="F291" s="5" t="s">
        <v>619</v>
      </c>
      <c r="G291" t="s">
        <v>19</v>
      </c>
      <c r="H291" t="s">
        <v>20</v>
      </c>
      <c r="I291" t="s">
        <v>29</v>
      </c>
      <c r="J291" t="s">
        <v>22</v>
      </c>
      <c r="K291">
        <v>48</v>
      </c>
      <c r="L291" s="7">
        <v>52</v>
      </c>
      <c r="M291">
        <v>2</v>
      </c>
      <c r="N291">
        <v>2</v>
      </c>
      <c r="O291">
        <v>26</v>
      </c>
      <c r="P291" t="str">
        <f t="shared" si="8"/>
        <v>August</v>
      </c>
      <c r="Q291" t="str">
        <f t="shared" si="9"/>
        <v>Thursday</v>
      </c>
      <c r="R291" t="s">
        <v>68</v>
      </c>
    </row>
    <row r="292" spans="1:18">
      <c r="A292">
        <v>2022</v>
      </c>
      <c r="B292" t="s">
        <v>106</v>
      </c>
      <c r="C292" t="s">
        <v>16</v>
      </c>
      <c r="D292" t="s">
        <v>620</v>
      </c>
      <c r="E292" s="2">
        <v>44851</v>
      </c>
      <c r="F292" s="5" t="s">
        <v>621</v>
      </c>
      <c r="G292" t="s">
        <v>19</v>
      </c>
      <c r="H292" t="s">
        <v>36</v>
      </c>
      <c r="I292" t="s">
        <v>44</v>
      </c>
      <c r="J292" t="s">
        <v>53</v>
      </c>
      <c r="K292">
        <v>31</v>
      </c>
      <c r="L292" s="7">
        <v>92</v>
      </c>
      <c r="M292">
        <v>1</v>
      </c>
      <c r="N292">
        <v>3</v>
      </c>
      <c r="O292">
        <v>28</v>
      </c>
      <c r="P292" t="str">
        <f t="shared" si="8"/>
        <v>October</v>
      </c>
      <c r="Q292" t="str">
        <f t="shared" si="9"/>
        <v>Monday</v>
      </c>
      <c r="R292" t="s">
        <v>30</v>
      </c>
    </row>
    <row r="293" spans="1:18">
      <c r="A293">
        <v>2023</v>
      </c>
      <c r="B293" t="s">
        <v>93</v>
      </c>
      <c r="C293" t="s">
        <v>32</v>
      </c>
      <c r="D293" t="s">
        <v>622</v>
      </c>
      <c r="E293" s="2">
        <v>44953</v>
      </c>
      <c r="F293" s="5" t="s">
        <v>623</v>
      </c>
      <c r="G293" t="s">
        <v>49</v>
      </c>
      <c r="H293" t="s">
        <v>28</v>
      </c>
      <c r="I293" t="s">
        <v>29</v>
      </c>
      <c r="J293" t="s">
        <v>53</v>
      </c>
      <c r="K293">
        <v>61</v>
      </c>
      <c r="L293" s="7">
        <v>108</v>
      </c>
      <c r="M293">
        <v>5</v>
      </c>
      <c r="N293">
        <v>6</v>
      </c>
      <c r="O293">
        <v>11</v>
      </c>
      <c r="P293" t="str">
        <f t="shared" si="8"/>
        <v>January</v>
      </c>
      <c r="Q293" t="str">
        <f t="shared" si="9"/>
        <v>Friday</v>
      </c>
      <c r="R293" t="s">
        <v>71</v>
      </c>
    </row>
    <row r="294" spans="1:18">
      <c r="A294">
        <v>2025</v>
      </c>
      <c r="B294" t="s">
        <v>46</v>
      </c>
      <c r="C294" t="s">
        <v>32</v>
      </c>
      <c r="D294" t="s">
        <v>624</v>
      </c>
      <c r="E294" s="2">
        <v>45928</v>
      </c>
      <c r="F294" s="5" t="s">
        <v>625</v>
      </c>
      <c r="G294" t="s">
        <v>19</v>
      </c>
      <c r="H294" t="s">
        <v>67</v>
      </c>
      <c r="I294" t="s">
        <v>21</v>
      </c>
      <c r="J294" t="s">
        <v>53</v>
      </c>
      <c r="K294">
        <v>22</v>
      </c>
      <c r="L294" s="7">
        <v>96</v>
      </c>
      <c r="M294">
        <v>1</v>
      </c>
      <c r="N294">
        <v>1</v>
      </c>
      <c r="O294">
        <v>14</v>
      </c>
      <c r="P294" t="str">
        <f t="shared" si="8"/>
        <v>September</v>
      </c>
      <c r="Q294" t="str">
        <f t="shared" si="9"/>
        <v>Sunday</v>
      </c>
      <c r="R294" t="s">
        <v>37</v>
      </c>
    </row>
    <row r="295" spans="1:18">
      <c r="A295">
        <v>2022</v>
      </c>
      <c r="B295" t="s">
        <v>46</v>
      </c>
      <c r="C295" t="s">
        <v>16</v>
      </c>
      <c r="D295" t="s">
        <v>626</v>
      </c>
      <c r="E295" s="2">
        <v>44827</v>
      </c>
      <c r="F295" s="5" t="s">
        <v>627</v>
      </c>
      <c r="G295" t="s">
        <v>35</v>
      </c>
      <c r="H295" t="s">
        <v>20</v>
      </c>
      <c r="I295" t="s">
        <v>21</v>
      </c>
      <c r="J295" t="s">
        <v>22</v>
      </c>
      <c r="K295">
        <v>42</v>
      </c>
      <c r="L295" s="7">
        <v>81</v>
      </c>
      <c r="M295">
        <v>1</v>
      </c>
      <c r="N295">
        <v>6</v>
      </c>
      <c r="O295">
        <v>35</v>
      </c>
      <c r="P295" t="str">
        <f t="shared" si="8"/>
        <v>September</v>
      </c>
      <c r="Q295" t="str">
        <f t="shared" si="9"/>
        <v>Friday</v>
      </c>
      <c r="R295" t="s">
        <v>37</v>
      </c>
    </row>
    <row r="296" spans="1:18">
      <c r="A296">
        <v>2023</v>
      </c>
      <c r="B296" t="s">
        <v>93</v>
      </c>
      <c r="C296" t="s">
        <v>16</v>
      </c>
      <c r="D296" t="s">
        <v>628</v>
      </c>
      <c r="E296" s="2">
        <v>45111</v>
      </c>
      <c r="F296" s="5" t="s">
        <v>629</v>
      </c>
      <c r="G296" t="s">
        <v>49</v>
      </c>
      <c r="H296" t="s">
        <v>28</v>
      </c>
      <c r="I296" t="s">
        <v>29</v>
      </c>
      <c r="J296" t="s">
        <v>22</v>
      </c>
      <c r="K296">
        <v>42</v>
      </c>
      <c r="L296" s="7">
        <v>64</v>
      </c>
      <c r="M296">
        <v>5</v>
      </c>
      <c r="N296">
        <v>4</v>
      </c>
      <c r="O296">
        <v>38</v>
      </c>
      <c r="P296" t="str">
        <f t="shared" si="8"/>
        <v>July</v>
      </c>
      <c r="Q296" t="str">
        <f t="shared" si="9"/>
        <v>Tuesday</v>
      </c>
      <c r="R296" t="s">
        <v>105</v>
      </c>
    </row>
    <row r="297" spans="1:18">
      <c r="A297">
        <v>2024</v>
      </c>
      <c r="B297" t="s">
        <v>82</v>
      </c>
      <c r="C297" t="s">
        <v>16</v>
      </c>
      <c r="D297" t="s">
        <v>630</v>
      </c>
      <c r="E297" s="2">
        <v>45534</v>
      </c>
      <c r="F297" s="5" t="s">
        <v>631</v>
      </c>
      <c r="G297" t="s">
        <v>49</v>
      </c>
      <c r="H297" t="s">
        <v>28</v>
      </c>
      <c r="I297" t="s">
        <v>44</v>
      </c>
      <c r="J297" t="s">
        <v>22</v>
      </c>
      <c r="K297">
        <v>27</v>
      </c>
      <c r="L297" s="7">
        <v>48</v>
      </c>
      <c r="M297">
        <v>2</v>
      </c>
      <c r="N297">
        <v>1</v>
      </c>
      <c r="O297">
        <v>37</v>
      </c>
      <c r="P297" t="str">
        <f t="shared" si="8"/>
        <v>August</v>
      </c>
      <c r="Q297" t="str">
        <f t="shared" si="9"/>
        <v>Friday</v>
      </c>
      <c r="R297" t="s">
        <v>45</v>
      </c>
    </row>
    <row r="298" spans="1:18">
      <c r="A298">
        <v>2024</v>
      </c>
      <c r="B298" t="s">
        <v>159</v>
      </c>
      <c r="C298" t="s">
        <v>32</v>
      </c>
      <c r="D298" t="s">
        <v>632</v>
      </c>
      <c r="E298" s="2">
        <v>45558</v>
      </c>
      <c r="F298" s="5" t="s">
        <v>633</v>
      </c>
      <c r="G298" t="s">
        <v>49</v>
      </c>
      <c r="H298" t="s">
        <v>36</v>
      </c>
      <c r="I298" t="s">
        <v>29</v>
      </c>
      <c r="J298" t="s">
        <v>53</v>
      </c>
      <c r="K298">
        <v>58</v>
      </c>
      <c r="L298" s="7">
        <v>81</v>
      </c>
      <c r="M298">
        <v>2</v>
      </c>
      <c r="N298">
        <v>1</v>
      </c>
      <c r="O298">
        <v>10</v>
      </c>
      <c r="P298" t="str">
        <f t="shared" si="8"/>
        <v>September</v>
      </c>
      <c r="Q298" t="str">
        <f t="shared" si="9"/>
        <v>Monday</v>
      </c>
      <c r="R298" t="s">
        <v>71</v>
      </c>
    </row>
    <row r="299" spans="1:18">
      <c r="A299">
        <v>2022</v>
      </c>
      <c r="B299" t="s">
        <v>41</v>
      </c>
      <c r="C299" t="s">
        <v>32</v>
      </c>
      <c r="D299" t="s">
        <v>634</v>
      </c>
      <c r="E299" s="2">
        <v>44814</v>
      </c>
      <c r="F299" s="5" t="s">
        <v>635</v>
      </c>
      <c r="G299" t="s">
        <v>35</v>
      </c>
      <c r="H299" t="s">
        <v>20</v>
      </c>
      <c r="I299" t="s">
        <v>44</v>
      </c>
      <c r="J299" t="s">
        <v>53</v>
      </c>
      <c r="K299">
        <v>65</v>
      </c>
      <c r="L299" s="7">
        <v>99</v>
      </c>
      <c r="M299">
        <v>0</v>
      </c>
      <c r="N299">
        <v>5</v>
      </c>
      <c r="O299">
        <v>25</v>
      </c>
      <c r="P299" t="str">
        <f t="shared" si="8"/>
        <v>September</v>
      </c>
      <c r="Q299" t="str">
        <f t="shared" si="9"/>
        <v>Saturday</v>
      </c>
      <c r="R299" t="s">
        <v>23</v>
      </c>
    </row>
    <row r="300" spans="1:18">
      <c r="A300">
        <v>2022</v>
      </c>
      <c r="B300" t="s">
        <v>82</v>
      </c>
      <c r="C300" t="s">
        <v>16</v>
      </c>
      <c r="D300" t="s">
        <v>636</v>
      </c>
      <c r="E300" s="2">
        <v>44676</v>
      </c>
      <c r="F300" s="5" t="s">
        <v>566</v>
      </c>
      <c r="G300" t="s">
        <v>57</v>
      </c>
      <c r="H300" t="s">
        <v>36</v>
      </c>
      <c r="I300" t="s">
        <v>29</v>
      </c>
      <c r="J300" t="s">
        <v>22</v>
      </c>
      <c r="K300">
        <v>47</v>
      </c>
      <c r="L300" s="7">
        <v>80</v>
      </c>
      <c r="M300">
        <v>5</v>
      </c>
      <c r="N300">
        <v>5</v>
      </c>
      <c r="O300">
        <v>39</v>
      </c>
      <c r="P300" t="str">
        <f t="shared" si="8"/>
        <v>April</v>
      </c>
      <c r="Q300" t="str">
        <f t="shared" si="9"/>
        <v>Monday</v>
      </c>
      <c r="R300" t="s">
        <v>30</v>
      </c>
    </row>
    <row r="301" spans="1:18">
      <c r="A301">
        <v>2022</v>
      </c>
      <c r="B301" t="s">
        <v>113</v>
      </c>
      <c r="C301" t="s">
        <v>32</v>
      </c>
      <c r="D301" t="s">
        <v>637</v>
      </c>
      <c r="E301" s="2">
        <v>44693</v>
      </c>
      <c r="F301" s="5" t="s">
        <v>638</v>
      </c>
      <c r="G301" t="s">
        <v>49</v>
      </c>
      <c r="H301" t="s">
        <v>28</v>
      </c>
      <c r="I301" t="s">
        <v>29</v>
      </c>
      <c r="J301" t="s">
        <v>53</v>
      </c>
      <c r="K301">
        <v>39</v>
      </c>
      <c r="L301" s="7">
        <v>65</v>
      </c>
      <c r="M301">
        <v>5</v>
      </c>
      <c r="N301">
        <v>3</v>
      </c>
      <c r="O301">
        <v>23</v>
      </c>
      <c r="P301" t="str">
        <f t="shared" si="8"/>
        <v>May</v>
      </c>
      <c r="Q301" t="str">
        <f t="shared" si="9"/>
        <v>Thursday</v>
      </c>
      <c r="R301" t="s">
        <v>23</v>
      </c>
    </row>
    <row r="302" spans="1:18">
      <c r="A302">
        <v>2024</v>
      </c>
      <c r="B302" t="s">
        <v>277</v>
      </c>
      <c r="C302" t="s">
        <v>32</v>
      </c>
      <c r="D302" t="s">
        <v>639</v>
      </c>
      <c r="E302" s="2">
        <v>45626</v>
      </c>
      <c r="F302" s="5" t="s">
        <v>344</v>
      </c>
      <c r="G302" t="s">
        <v>27</v>
      </c>
      <c r="H302" t="s">
        <v>67</v>
      </c>
      <c r="I302" t="s">
        <v>21</v>
      </c>
      <c r="J302" t="s">
        <v>53</v>
      </c>
      <c r="K302">
        <v>35</v>
      </c>
      <c r="L302" s="7">
        <v>117</v>
      </c>
      <c r="M302">
        <v>3</v>
      </c>
      <c r="N302">
        <v>5</v>
      </c>
      <c r="O302">
        <v>41</v>
      </c>
      <c r="P302" t="str">
        <f t="shared" si="8"/>
        <v>November</v>
      </c>
      <c r="Q302" t="str">
        <f t="shared" si="9"/>
        <v>Saturday</v>
      </c>
      <c r="R302" t="s">
        <v>14</v>
      </c>
    </row>
    <row r="303" spans="1:18">
      <c r="A303">
        <v>2023</v>
      </c>
      <c r="B303" t="s">
        <v>277</v>
      </c>
      <c r="C303" t="s">
        <v>16</v>
      </c>
      <c r="D303" t="s">
        <v>640</v>
      </c>
      <c r="E303" s="2">
        <v>45040</v>
      </c>
      <c r="F303" s="5" t="s">
        <v>641</v>
      </c>
      <c r="G303" t="s">
        <v>35</v>
      </c>
      <c r="H303" t="s">
        <v>36</v>
      </c>
      <c r="I303" t="s">
        <v>29</v>
      </c>
      <c r="J303" t="s">
        <v>22</v>
      </c>
      <c r="K303">
        <v>61</v>
      </c>
      <c r="L303" s="7">
        <v>114</v>
      </c>
      <c r="M303">
        <v>2</v>
      </c>
      <c r="N303">
        <v>1</v>
      </c>
      <c r="O303">
        <v>37</v>
      </c>
      <c r="P303" t="str">
        <f t="shared" si="8"/>
        <v>April</v>
      </c>
      <c r="Q303" t="str">
        <f t="shared" si="9"/>
        <v>Monday</v>
      </c>
      <c r="R303" t="s">
        <v>68</v>
      </c>
    </row>
    <row r="304" spans="1:18">
      <c r="A304">
        <v>2023</v>
      </c>
      <c r="B304" t="s">
        <v>131</v>
      </c>
      <c r="C304" t="s">
        <v>32</v>
      </c>
      <c r="D304" t="s">
        <v>642</v>
      </c>
      <c r="E304" s="2">
        <v>44955</v>
      </c>
      <c r="F304" s="5" t="s">
        <v>440</v>
      </c>
      <c r="G304" t="s">
        <v>49</v>
      </c>
      <c r="H304" t="s">
        <v>36</v>
      </c>
      <c r="I304" t="s">
        <v>29</v>
      </c>
      <c r="J304" t="s">
        <v>53</v>
      </c>
      <c r="K304">
        <v>30</v>
      </c>
      <c r="L304" s="7">
        <v>85</v>
      </c>
      <c r="M304">
        <v>0</v>
      </c>
      <c r="N304">
        <v>1</v>
      </c>
      <c r="O304">
        <v>25</v>
      </c>
      <c r="P304" t="str">
        <f t="shared" si="8"/>
        <v>January</v>
      </c>
      <c r="Q304" t="str">
        <f t="shared" si="9"/>
        <v>Sunday</v>
      </c>
      <c r="R304" t="s">
        <v>58</v>
      </c>
    </row>
    <row r="305" spans="1:18">
      <c r="A305">
        <v>2025</v>
      </c>
      <c r="B305" t="s">
        <v>208</v>
      </c>
      <c r="C305" t="s">
        <v>16</v>
      </c>
      <c r="D305" t="s">
        <v>643</v>
      </c>
      <c r="E305" s="2">
        <v>45873</v>
      </c>
      <c r="F305" s="5" t="s">
        <v>644</v>
      </c>
      <c r="G305" t="s">
        <v>27</v>
      </c>
      <c r="H305" t="s">
        <v>67</v>
      </c>
      <c r="I305" t="s">
        <v>21</v>
      </c>
      <c r="J305" t="s">
        <v>53</v>
      </c>
      <c r="K305">
        <v>64</v>
      </c>
      <c r="L305" s="7">
        <v>57</v>
      </c>
      <c r="M305">
        <v>2</v>
      </c>
      <c r="N305">
        <v>6</v>
      </c>
      <c r="O305">
        <v>19</v>
      </c>
      <c r="P305" t="str">
        <f t="shared" si="8"/>
        <v>August</v>
      </c>
      <c r="Q305" t="str">
        <f t="shared" si="9"/>
        <v>Monday</v>
      </c>
      <c r="R305" t="s">
        <v>71</v>
      </c>
    </row>
    <row r="306" spans="1:18">
      <c r="A306">
        <v>2023</v>
      </c>
      <c r="B306" t="s">
        <v>144</v>
      </c>
      <c r="C306" t="s">
        <v>32</v>
      </c>
      <c r="D306" t="s">
        <v>645</v>
      </c>
      <c r="E306" s="2">
        <v>45218</v>
      </c>
      <c r="F306" s="5" t="s">
        <v>646</v>
      </c>
      <c r="G306" t="s">
        <v>57</v>
      </c>
      <c r="H306" t="s">
        <v>20</v>
      </c>
      <c r="I306" t="s">
        <v>44</v>
      </c>
      <c r="J306" t="s">
        <v>53</v>
      </c>
      <c r="K306">
        <v>30</v>
      </c>
      <c r="L306" s="7">
        <v>40</v>
      </c>
      <c r="M306">
        <v>5</v>
      </c>
      <c r="N306">
        <v>1</v>
      </c>
      <c r="O306">
        <v>20</v>
      </c>
      <c r="P306" t="str">
        <f t="shared" si="8"/>
        <v>October</v>
      </c>
      <c r="Q306" t="str">
        <f t="shared" si="9"/>
        <v>Thursday</v>
      </c>
      <c r="R306" t="s">
        <v>58</v>
      </c>
    </row>
    <row r="307" spans="1:18">
      <c r="A307">
        <v>2023</v>
      </c>
      <c r="B307" t="s">
        <v>172</v>
      </c>
      <c r="C307" t="s">
        <v>16</v>
      </c>
      <c r="D307" t="s">
        <v>647</v>
      </c>
      <c r="E307" s="2">
        <v>45043</v>
      </c>
      <c r="F307" s="5" t="s">
        <v>648</v>
      </c>
      <c r="G307" t="s">
        <v>19</v>
      </c>
      <c r="H307" t="s">
        <v>36</v>
      </c>
      <c r="I307" t="s">
        <v>29</v>
      </c>
      <c r="J307" t="s">
        <v>53</v>
      </c>
      <c r="K307">
        <v>56</v>
      </c>
      <c r="L307" s="7">
        <v>44</v>
      </c>
      <c r="M307">
        <v>3</v>
      </c>
      <c r="N307">
        <v>6</v>
      </c>
      <c r="O307">
        <v>45</v>
      </c>
      <c r="P307" t="str">
        <f t="shared" si="8"/>
        <v>April</v>
      </c>
      <c r="Q307" t="str">
        <f t="shared" si="9"/>
        <v>Thursday</v>
      </c>
      <c r="R307" t="s">
        <v>37</v>
      </c>
    </row>
    <row r="308" spans="1:18">
      <c r="A308">
        <v>2025</v>
      </c>
      <c r="B308" t="s">
        <v>82</v>
      </c>
      <c r="C308" t="s">
        <v>32</v>
      </c>
      <c r="D308" t="s">
        <v>649</v>
      </c>
      <c r="E308" s="2">
        <v>45846</v>
      </c>
      <c r="F308" s="5" t="s">
        <v>650</v>
      </c>
      <c r="G308" t="s">
        <v>57</v>
      </c>
      <c r="H308" t="s">
        <v>67</v>
      </c>
      <c r="I308" t="s">
        <v>44</v>
      </c>
      <c r="J308" t="s">
        <v>22</v>
      </c>
      <c r="K308">
        <v>54</v>
      </c>
      <c r="L308" s="7">
        <v>82</v>
      </c>
      <c r="M308">
        <v>0</v>
      </c>
      <c r="N308">
        <v>4</v>
      </c>
      <c r="O308">
        <v>8</v>
      </c>
      <c r="P308" t="str">
        <f t="shared" si="8"/>
        <v>July</v>
      </c>
      <c r="Q308" t="str">
        <f t="shared" si="9"/>
        <v>Tuesday</v>
      </c>
      <c r="R308" t="s">
        <v>71</v>
      </c>
    </row>
    <row r="309" spans="1:18">
      <c r="A309">
        <v>2022</v>
      </c>
      <c r="B309" t="s">
        <v>62</v>
      </c>
      <c r="C309" t="s">
        <v>16</v>
      </c>
      <c r="D309" t="s">
        <v>651</v>
      </c>
      <c r="E309" s="2">
        <v>44694</v>
      </c>
      <c r="F309" s="5" t="s">
        <v>652</v>
      </c>
      <c r="G309" t="s">
        <v>19</v>
      </c>
      <c r="H309" t="s">
        <v>36</v>
      </c>
      <c r="I309" t="s">
        <v>44</v>
      </c>
      <c r="J309" t="s">
        <v>53</v>
      </c>
      <c r="K309">
        <v>51</v>
      </c>
      <c r="L309" s="7">
        <v>94</v>
      </c>
      <c r="M309">
        <v>5</v>
      </c>
      <c r="N309">
        <v>2</v>
      </c>
      <c r="O309">
        <v>27</v>
      </c>
      <c r="P309" t="str">
        <f t="shared" si="8"/>
        <v>May</v>
      </c>
      <c r="Q309" t="str">
        <f t="shared" si="9"/>
        <v>Friday</v>
      </c>
      <c r="R309" t="s">
        <v>30</v>
      </c>
    </row>
    <row r="310" spans="1:18">
      <c r="A310">
        <v>2023</v>
      </c>
      <c r="B310" t="s">
        <v>136</v>
      </c>
      <c r="C310" t="s">
        <v>16</v>
      </c>
      <c r="D310" t="s">
        <v>653</v>
      </c>
      <c r="E310" s="2">
        <v>45237</v>
      </c>
      <c r="F310" s="5" t="s">
        <v>603</v>
      </c>
      <c r="G310" t="s">
        <v>57</v>
      </c>
      <c r="H310" t="s">
        <v>67</v>
      </c>
      <c r="I310" t="s">
        <v>29</v>
      </c>
      <c r="J310" t="s">
        <v>53</v>
      </c>
      <c r="K310">
        <v>44</v>
      </c>
      <c r="L310" s="7">
        <v>85</v>
      </c>
      <c r="M310">
        <v>2</v>
      </c>
      <c r="N310">
        <v>3</v>
      </c>
      <c r="O310">
        <v>24</v>
      </c>
      <c r="P310" t="str">
        <f t="shared" si="8"/>
        <v>November</v>
      </c>
      <c r="Q310" t="str">
        <f t="shared" si="9"/>
        <v>Tuesday</v>
      </c>
      <c r="R310" t="s">
        <v>68</v>
      </c>
    </row>
    <row r="311" spans="1:18">
      <c r="A311">
        <v>2022</v>
      </c>
      <c r="B311" t="s">
        <v>113</v>
      </c>
      <c r="C311" t="s">
        <v>16</v>
      </c>
      <c r="D311" t="s">
        <v>654</v>
      </c>
      <c r="E311" s="2">
        <v>44611</v>
      </c>
      <c r="F311" s="5" t="s">
        <v>368</v>
      </c>
      <c r="G311" t="s">
        <v>49</v>
      </c>
      <c r="H311" t="s">
        <v>36</v>
      </c>
      <c r="I311" t="s">
        <v>29</v>
      </c>
      <c r="J311" t="s">
        <v>22</v>
      </c>
      <c r="K311">
        <v>49</v>
      </c>
      <c r="L311" s="7">
        <v>120</v>
      </c>
      <c r="M311">
        <v>5</v>
      </c>
      <c r="N311">
        <v>0</v>
      </c>
      <c r="O311">
        <v>22</v>
      </c>
      <c r="P311" t="str">
        <f t="shared" si="8"/>
        <v>February</v>
      </c>
      <c r="Q311" t="str">
        <f t="shared" si="9"/>
        <v>Saturday</v>
      </c>
      <c r="R311" t="s">
        <v>45</v>
      </c>
    </row>
    <row r="312" spans="1:18">
      <c r="A312">
        <v>2024</v>
      </c>
      <c r="B312" t="s">
        <v>54</v>
      </c>
      <c r="C312" t="s">
        <v>16</v>
      </c>
      <c r="D312" t="s">
        <v>655</v>
      </c>
      <c r="E312" s="2">
        <v>45441</v>
      </c>
      <c r="F312" s="5" t="s">
        <v>224</v>
      </c>
      <c r="G312" t="s">
        <v>49</v>
      </c>
      <c r="H312" t="s">
        <v>67</v>
      </c>
      <c r="I312" t="s">
        <v>21</v>
      </c>
      <c r="J312" t="s">
        <v>53</v>
      </c>
      <c r="K312">
        <v>54</v>
      </c>
      <c r="L312" s="7">
        <v>70</v>
      </c>
      <c r="M312">
        <v>4</v>
      </c>
      <c r="N312">
        <v>2</v>
      </c>
      <c r="O312">
        <v>18</v>
      </c>
      <c r="P312" t="str">
        <f t="shared" si="8"/>
        <v>May</v>
      </c>
      <c r="Q312" t="str">
        <f t="shared" si="9"/>
        <v>Wednesday</v>
      </c>
      <c r="R312" t="s">
        <v>124</v>
      </c>
    </row>
    <row r="313" spans="1:18">
      <c r="A313">
        <v>2023</v>
      </c>
      <c r="B313" t="s">
        <v>62</v>
      </c>
      <c r="C313" t="s">
        <v>16</v>
      </c>
      <c r="D313" t="s">
        <v>656</v>
      </c>
      <c r="E313" s="2">
        <v>45213</v>
      </c>
      <c r="F313" s="5" t="s">
        <v>657</v>
      </c>
      <c r="G313" t="s">
        <v>35</v>
      </c>
      <c r="H313" t="s">
        <v>20</v>
      </c>
      <c r="I313" t="s">
        <v>29</v>
      </c>
      <c r="J313" t="s">
        <v>53</v>
      </c>
      <c r="K313">
        <v>57</v>
      </c>
      <c r="L313" s="7">
        <v>107</v>
      </c>
      <c r="M313">
        <v>3</v>
      </c>
      <c r="N313">
        <v>2</v>
      </c>
      <c r="O313">
        <v>37</v>
      </c>
      <c r="P313" t="str">
        <f t="shared" si="8"/>
        <v>October</v>
      </c>
      <c r="Q313" t="str">
        <f t="shared" si="9"/>
        <v>Saturday</v>
      </c>
      <c r="R313" t="s">
        <v>14</v>
      </c>
    </row>
    <row r="314" spans="1:18">
      <c r="A314">
        <v>2022</v>
      </c>
      <c r="B314" t="s">
        <v>208</v>
      </c>
      <c r="C314" t="s">
        <v>16</v>
      </c>
      <c r="D314" t="s">
        <v>658</v>
      </c>
      <c r="E314" s="2">
        <v>44694</v>
      </c>
      <c r="F314" s="5" t="s">
        <v>659</v>
      </c>
      <c r="G314" t="s">
        <v>27</v>
      </c>
      <c r="H314" t="s">
        <v>67</v>
      </c>
      <c r="I314" t="s">
        <v>29</v>
      </c>
      <c r="J314" t="s">
        <v>53</v>
      </c>
      <c r="K314">
        <v>23</v>
      </c>
      <c r="L314" s="7">
        <v>71</v>
      </c>
      <c r="M314">
        <v>4</v>
      </c>
      <c r="N314">
        <v>4</v>
      </c>
      <c r="O314">
        <v>11</v>
      </c>
      <c r="P314" t="str">
        <f t="shared" si="8"/>
        <v>May</v>
      </c>
      <c r="Q314" t="str">
        <f t="shared" si="9"/>
        <v>Friday</v>
      </c>
      <c r="R314" t="s">
        <v>45</v>
      </c>
    </row>
    <row r="315" spans="1:18">
      <c r="A315">
        <v>2025</v>
      </c>
      <c r="B315" t="s">
        <v>106</v>
      </c>
      <c r="C315" t="s">
        <v>16</v>
      </c>
      <c r="D315" t="s">
        <v>660</v>
      </c>
      <c r="E315" s="2">
        <v>45979</v>
      </c>
      <c r="F315" s="5" t="s">
        <v>128</v>
      </c>
      <c r="G315" t="s">
        <v>27</v>
      </c>
      <c r="H315" t="s">
        <v>67</v>
      </c>
      <c r="I315" t="s">
        <v>44</v>
      </c>
      <c r="J315" t="s">
        <v>53</v>
      </c>
      <c r="K315">
        <v>27</v>
      </c>
      <c r="L315" s="7">
        <v>48</v>
      </c>
      <c r="M315">
        <v>2</v>
      </c>
      <c r="N315">
        <v>1</v>
      </c>
      <c r="O315">
        <v>27</v>
      </c>
      <c r="P315" t="str">
        <f t="shared" si="8"/>
        <v>November</v>
      </c>
      <c r="Q315" t="str">
        <f t="shared" si="9"/>
        <v>Tuesday</v>
      </c>
      <c r="R315" t="s">
        <v>14</v>
      </c>
    </row>
    <row r="316" spans="1:18">
      <c r="A316">
        <v>2023</v>
      </c>
      <c r="B316" t="s">
        <v>50</v>
      </c>
      <c r="C316" t="s">
        <v>16</v>
      </c>
      <c r="D316" t="s">
        <v>661</v>
      </c>
      <c r="E316" s="2">
        <v>45247</v>
      </c>
      <c r="F316" s="5" t="s">
        <v>102</v>
      </c>
      <c r="G316" t="s">
        <v>49</v>
      </c>
      <c r="H316" t="s">
        <v>36</v>
      </c>
      <c r="I316" t="s">
        <v>21</v>
      </c>
      <c r="J316" t="s">
        <v>22</v>
      </c>
      <c r="K316">
        <v>25</v>
      </c>
      <c r="L316" s="7">
        <v>114</v>
      </c>
      <c r="M316">
        <v>0</v>
      </c>
      <c r="N316">
        <v>5</v>
      </c>
      <c r="O316">
        <v>12</v>
      </c>
      <c r="P316" t="str">
        <f t="shared" si="8"/>
        <v>November</v>
      </c>
      <c r="Q316" t="str">
        <f t="shared" si="9"/>
        <v>Friday</v>
      </c>
      <c r="R316" t="s">
        <v>124</v>
      </c>
    </row>
    <row r="317" spans="1:18">
      <c r="A317">
        <v>2025</v>
      </c>
      <c r="B317" t="s">
        <v>31</v>
      </c>
      <c r="C317" t="s">
        <v>16</v>
      </c>
      <c r="D317" t="s">
        <v>662</v>
      </c>
      <c r="E317" s="2">
        <v>45764</v>
      </c>
      <c r="F317" s="5" t="s">
        <v>185</v>
      </c>
      <c r="G317" t="s">
        <v>49</v>
      </c>
      <c r="H317" t="s">
        <v>20</v>
      </c>
      <c r="I317" t="s">
        <v>21</v>
      </c>
      <c r="J317" t="s">
        <v>22</v>
      </c>
      <c r="K317">
        <v>37</v>
      </c>
      <c r="L317" s="7">
        <v>49</v>
      </c>
      <c r="M317">
        <v>5</v>
      </c>
      <c r="N317">
        <v>4</v>
      </c>
      <c r="O317">
        <v>12</v>
      </c>
      <c r="P317" t="str">
        <f t="shared" si="8"/>
        <v>April</v>
      </c>
      <c r="Q317" t="str">
        <f t="shared" si="9"/>
        <v>Thursday</v>
      </c>
      <c r="R317" t="s">
        <v>37</v>
      </c>
    </row>
    <row r="318" spans="1:18">
      <c r="A318">
        <v>2025</v>
      </c>
      <c r="B318" t="s">
        <v>136</v>
      </c>
      <c r="C318" t="s">
        <v>32</v>
      </c>
      <c r="D318" t="s">
        <v>663</v>
      </c>
      <c r="E318" s="2">
        <v>45754</v>
      </c>
      <c r="F318" s="5" t="s">
        <v>664</v>
      </c>
      <c r="G318" t="s">
        <v>19</v>
      </c>
      <c r="H318" t="s">
        <v>20</v>
      </c>
      <c r="I318" t="s">
        <v>44</v>
      </c>
      <c r="J318" t="s">
        <v>22</v>
      </c>
      <c r="K318">
        <v>56</v>
      </c>
      <c r="L318" s="7">
        <v>86</v>
      </c>
      <c r="M318">
        <v>4</v>
      </c>
      <c r="N318">
        <v>6</v>
      </c>
      <c r="O318">
        <v>28</v>
      </c>
      <c r="P318" t="str">
        <f t="shared" si="8"/>
        <v>April</v>
      </c>
      <c r="Q318" t="str">
        <f t="shared" si="9"/>
        <v>Monday</v>
      </c>
      <c r="R318" t="s">
        <v>105</v>
      </c>
    </row>
    <row r="319" spans="1:18">
      <c r="A319">
        <v>2023</v>
      </c>
      <c r="B319" t="s">
        <v>131</v>
      </c>
      <c r="C319" t="s">
        <v>16</v>
      </c>
      <c r="D319" t="s">
        <v>665</v>
      </c>
      <c r="E319" s="2">
        <v>45048</v>
      </c>
      <c r="F319" s="5" t="s">
        <v>666</v>
      </c>
      <c r="G319" t="s">
        <v>57</v>
      </c>
      <c r="H319" t="s">
        <v>28</v>
      </c>
      <c r="I319" t="s">
        <v>29</v>
      </c>
      <c r="J319" t="s">
        <v>22</v>
      </c>
      <c r="K319">
        <v>45</v>
      </c>
      <c r="L319" s="7">
        <v>113</v>
      </c>
      <c r="M319">
        <v>5</v>
      </c>
      <c r="N319">
        <v>6</v>
      </c>
      <c r="O319">
        <v>44</v>
      </c>
      <c r="P319" t="str">
        <f t="shared" si="8"/>
        <v>May</v>
      </c>
      <c r="Q319" t="str">
        <f t="shared" si="9"/>
        <v>Tuesday</v>
      </c>
      <c r="R319" t="s">
        <v>68</v>
      </c>
    </row>
    <row r="320" spans="1:18">
      <c r="A320">
        <v>2022</v>
      </c>
      <c r="B320" t="s">
        <v>208</v>
      </c>
      <c r="C320" t="s">
        <v>32</v>
      </c>
      <c r="D320" t="s">
        <v>667</v>
      </c>
      <c r="E320" s="2">
        <v>44833</v>
      </c>
      <c r="F320" s="5" t="s">
        <v>247</v>
      </c>
      <c r="G320" t="s">
        <v>27</v>
      </c>
      <c r="H320" t="s">
        <v>20</v>
      </c>
      <c r="I320" t="s">
        <v>29</v>
      </c>
      <c r="J320" t="s">
        <v>22</v>
      </c>
      <c r="K320">
        <v>21</v>
      </c>
      <c r="L320" s="7">
        <v>112</v>
      </c>
      <c r="M320">
        <v>2</v>
      </c>
      <c r="N320">
        <v>3</v>
      </c>
      <c r="O320">
        <v>9</v>
      </c>
      <c r="P320" t="str">
        <f t="shared" si="8"/>
        <v>September</v>
      </c>
      <c r="Q320" t="str">
        <f t="shared" si="9"/>
        <v>Thursday</v>
      </c>
      <c r="R320" t="s">
        <v>45</v>
      </c>
    </row>
    <row r="321" spans="1:18">
      <c r="A321">
        <v>2023</v>
      </c>
      <c r="B321" t="s">
        <v>106</v>
      </c>
      <c r="C321" t="s">
        <v>32</v>
      </c>
      <c r="D321" t="s">
        <v>668</v>
      </c>
      <c r="E321" s="2">
        <v>44953</v>
      </c>
      <c r="F321" s="5" t="s">
        <v>313</v>
      </c>
      <c r="G321" t="s">
        <v>19</v>
      </c>
      <c r="H321" t="s">
        <v>28</v>
      </c>
      <c r="I321" t="s">
        <v>21</v>
      </c>
      <c r="J321" t="s">
        <v>53</v>
      </c>
      <c r="K321">
        <v>24</v>
      </c>
      <c r="L321" s="7">
        <v>115</v>
      </c>
      <c r="M321">
        <v>3</v>
      </c>
      <c r="N321">
        <v>6</v>
      </c>
      <c r="O321">
        <v>28</v>
      </c>
      <c r="P321" t="str">
        <f t="shared" si="8"/>
        <v>January</v>
      </c>
      <c r="Q321" t="str">
        <f t="shared" si="9"/>
        <v>Friday</v>
      </c>
      <c r="R321" t="s">
        <v>23</v>
      </c>
    </row>
    <row r="322" spans="1:18">
      <c r="A322">
        <v>2025</v>
      </c>
      <c r="B322" t="s">
        <v>15</v>
      </c>
      <c r="C322" t="s">
        <v>32</v>
      </c>
      <c r="D322" t="s">
        <v>669</v>
      </c>
      <c r="E322" s="2">
        <v>45722</v>
      </c>
      <c r="F322" s="5" t="s">
        <v>670</v>
      </c>
      <c r="G322" t="s">
        <v>19</v>
      </c>
      <c r="H322" t="s">
        <v>67</v>
      </c>
      <c r="I322" t="s">
        <v>29</v>
      </c>
      <c r="J322" t="s">
        <v>53</v>
      </c>
      <c r="K322">
        <v>24</v>
      </c>
      <c r="L322" s="7">
        <v>66</v>
      </c>
      <c r="M322">
        <v>1</v>
      </c>
      <c r="N322">
        <v>0</v>
      </c>
      <c r="O322">
        <v>42</v>
      </c>
      <c r="P322" t="str">
        <f t="shared" si="8"/>
        <v>March</v>
      </c>
      <c r="Q322" t="str">
        <f t="shared" si="9"/>
        <v>Thursday</v>
      </c>
      <c r="R322" t="s">
        <v>30</v>
      </c>
    </row>
    <row r="323" spans="1:18">
      <c r="A323">
        <v>2023</v>
      </c>
      <c r="B323" t="s">
        <v>156</v>
      </c>
      <c r="C323" t="s">
        <v>16</v>
      </c>
      <c r="D323" t="s">
        <v>671</v>
      </c>
      <c r="E323" s="2">
        <v>45094</v>
      </c>
      <c r="F323" s="5" t="s">
        <v>672</v>
      </c>
      <c r="G323" t="s">
        <v>35</v>
      </c>
      <c r="H323" t="s">
        <v>67</v>
      </c>
      <c r="I323" t="s">
        <v>29</v>
      </c>
      <c r="J323" t="s">
        <v>53</v>
      </c>
      <c r="K323">
        <v>51</v>
      </c>
      <c r="L323" s="7">
        <v>47</v>
      </c>
      <c r="M323">
        <v>4</v>
      </c>
      <c r="N323">
        <v>1</v>
      </c>
      <c r="O323">
        <v>26</v>
      </c>
      <c r="P323" t="str">
        <f t="shared" ref="P323:P386" si="10">TEXT(E323,"mmmm")</f>
        <v>June</v>
      </c>
      <c r="Q323" t="str">
        <f t="shared" ref="Q323:Q386" si="11">TEXT(E323,"dddd")</f>
        <v>Saturday</v>
      </c>
      <c r="R323" t="s">
        <v>30</v>
      </c>
    </row>
    <row r="324" spans="1:18">
      <c r="A324">
        <v>2022</v>
      </c>
      <c r="B324" t="s">
        <v>15</v>
      </c>
      <c r="C324" t="s">
        <v>16</v>
      </c>
      <c r="D324" t="s">
        <v>673</v>
      </c>
      <c r="E324" s="2">
        <v>44891</v>
      </c>
      <c r="F324" s="5" t="s">
        <v>674</v>
      </c>
      <c r="G324" t="s">
        <v>57</v>
      </c>
      <c r="H324" t="s">
        <v>28</v>
      </c>
      <c r="I324" t="s">
        <v>21</v>
      </c>
      <c r="J324" t="s">
        <v>53</v>
      </c>
      <c r="K324">
        <v>40</v>
      </c>
      <c r="L324" s="7">
        <v>59</v>
      </c>
      <c r="M324">
        <v>3</v>
      </c>
      <c r="N324">
        <v>4</v>
      </c>
      <c r="O324">
        <v>28</v>
      </c>
      <c r="P324" t="str">
        <f t="shared" si="10"/>
        <v>November</v>
      </c>
      <c r="Q324" t="str">
        <f t="shared" si="11"/>
        <v>Saturday</v>
      </c>
      <c r="R324" t="s">
        <v>14</v>
      </c>
    </row>
    <row r="325" spans="1:18">
      <c r="A325">
        <v>2024</v>
      </c>
      <c r="B325" t="s">
        <v>100</v>
      </c>
      <c r="C325" t="s">
        <v>16</v>
      </c>
      <c r="D325" t="s">
        <v>675</v>
      </c>
      <c r="E325" s="2">
        <v>45509</v>
      </c>
      <c r="F325" s="5" t="s">
        <v>676</v>
      </c>
      <c r="G325" t="s">
        <v>19</v>
      </c>
      <c r="H325" t="s">
        <v>36</v>
      </c>
      <c r="I325" t="s">
        <v>29</v>
      </c>
      <c r="J325" t="s">
        <v>22</v>
      </c>
      <c r="K325">
        <v>50</v>
      </c>
      <c r="L325" s="7">
        <v>111</v>
      </c>
      <c r="M325">
        <v>1</v>
      </c>
      <c r="N325">
        <v>5</v>
      </c>
      <c r="O325">
        <v>23</v>
      </c>
      <c r="P325" t="str">
        <f t="shared" si="10"/>
        <v>August</v>
      </c>
      <c r="Q325" t="str">
        <f t="shared" si="11"/>
        <v>Monday</v>
      </c>
      <c r="R325" t="s">
        <v>71</v>
      </c>
    </row>
    <row r="326" spans="1:18">
      <c r="A326">
        <v>2025</v>
      </c>
      <c r="B326" t="s">
        <v>31</v>
      </c>
      <c r="C326" t="s">
        <v>16</v>
      </c>
      <c r="D326" t="s">
        <v>677</v>
      </c>
      <c r="E326" s="2">
        <v>45705</v>
      </c>
      <c r="F326" s="5" t="s">
        <v>678</v>
      </c>
      <c r="G326" t="s">
        <v>27</v>
      </c>
      <c r="H326" t="s">
        <v>28</v>
      </c>
      <c r="I326" t="s">
        <v>44</v>
      </c>
      <c r="J326" t="s">
        <v>53</v>
      </c>
      <c r="K326">
        <v>34</v>
      </c>
      <c r="L326" s="7">
        <v>79</v>
      </c>
      <c r="M326">
        <v>2</v>
      </c>
      <c r="N326">
        <v>3</v>
      </c>
      <c r="O326">
        <v>29</v>
      </c>
      <c r="P326" t="str">
        <f t="shared" si="10"/>
        <v>February</v>
      </c>
      <c r="Q326" t="str">
        <f t="shared" si="11"/>
        <v>Monday</v>
      </c>
      <c r="R326" t="s">
        <v>30</v>
      </c>
    </row>
    <row r="327" spans="1:18">
      <c r="A327">
        <v>2022</v>
      </c>
      <c r="B327" t="s">
        <v>208</v>
      </c>
      <c r="C327" t="s">
        <v>32</v>
      </c>
      <c r="D327" t="s">
        <v>679</v>
      </c>
      <c r="E327" s="2">
        <v>44740</v>
      </c>
      <c r="F327" s="5" t="s">
        <v>680</v>
      </c>
      <c r="G327" t="s">
        <v>19</v>
      </c>
      <c r="H327" t="s">
        <v>20</v>
      </c>
      <c r="I327" t="s">
        <v>29</v>
      </c>
      <c r="J327" t="s">
        <v>53</v>
      </c>
      <c r="K327">
        <v>61</v>
      </c>
      <c r="L327" s="7">
        <v>72</v>
      </c>
      <c r="M327">
        <v>2</v>
      </c>
      <c r="N327">
        <v>2</v>
      </c>
      <c r="O327">
        <v>25</v>
      </c>
      <c r="P327" t="str">
        <f t="shared" si="10"/>
        <v>June</v>
      </c>
      <c r="Q327" t="str">
        <f t="shared" si="11"/>
        <v>Tuesday</v>
      </c>
      <c r="R327" t="s">
        <v>105</v>
      </c>
    </row>
    <row r="328" spans="1:18">
      <c r="A328">
        <v>2025</v>
      </c>
      <c r="B328" t="s">
        <v>156</v>
      </c>
      <c r="C328" t="s">
        <v>16</v>
      </c>
      <c r="D328" t="s">
        <v>681</v>
      </c>
      <c r="E328" s="2">
        <v>45798</v>
      </c>
      <c r="F328" s="5" t="s">
        <v>682</v>
      </c>
      <c r="G328" t="s">
        <v>57</v>
      </c>
      <c r="H328" t="s">
        <v>67</v>
      </c>
      <c r="I328" t="s">
        <v>21</v>
      </c>
      <c r="J328" t="s">
        <v>22</v>
      </c>
      <c r="K328">
        <v>32</v>
      </c>
      <c r="L328" s="7">
        <v>81</v>
      </c>
      <c r="M328">
        <v>2</v>
      </c>
      <c r="N328">
        <v>5</v>
      </c>
      <c r="O328">
        <v>33</v>
      </c>
      <c r="P328" t="str">
        <f t="shared" si="10"/>
        <v>May</v>
      </c>
      <c r="Q328" t="str">
        <f t="shared" si="11"/>
        <v>Wednesday</v>
      </c>
      <c r="R328" t="s">
        <v>71</v>
      </c>
    </row>
    <row r="329" spans="1:18">
      <c r="A329">
        <v>2022</v>
      </c>
      <c r="B329" t="s">
        <v>50</v>
      </c>
      <c r="C329" t="s">
        <v>32</v>
      </c>
      <c r="D329" t="s">
        <v>683</v>
      </c>
      <c r="E329" s="2">
        <v>44648</v>
      </c>
      <c r="F329" s="5" t="s">
        <v>684</v>
      </c>
      <c r="G329" t="s">
        <v>57</v>
      </c>
      <c r="H329" t="s">
        <v>28</v>
      </c>
      <c r="I329" t="s">
        <v>21</v>
      </c>
      <c r="J329" t="s">
        <v>53</v>
      </c>
      <c r="K329">
        <v>39</v>
      </c>
      <c r="L329" s="7">
        <v>45</v>
      </c>
      <c r="M329">
        <v>0</v>
      </c>
      <c r="N329">
        <v>0</v>
      </c>
      <c r="O329">
        <v>22</v>
      </c>
      <c r="P329" t="str">
        <f t="shared" si="10"/>
        <v>March</v>
      </c>
      <c r="Q329" t="str">
        <f t="shared" si="11"/>
        <v>Monday</v>
      </c>
      <c r="R329" t="s">
        <v>124</v>
      </c>
    </row>
    <row r="330" spans="1:18">
      <c r="A330">
        <v>2023</v>
      </c>
      <c r="B330" t="s">
        <v>93</v>
      </c>
      <c r="C330" t="s">
        <v>32</v>
      </c>
      <c r="D330" t="s">
        <v>685</v>
      </c>
      <c r="E330" s="2">
        <v>44953</v>
      </c>
      <c r="F330" s="5" t="s">
        <v>255</v>
      </c>
      <c r="G330" t="s">
        <v>35</v>
      </c>
      <c r="H330" t="s">
        <v>20</v>
      </c>
      <c r="I330" t="s">
        <v>21</v>
      </c>
      <c r="J330" t="s">
        <v>53</v>
      </c>
      <c r="K330">
        <v>29</v>
      </c>
      <c r="L330" s="7">
        <v>108</v>
      </c>
      <c r="M330">
        <v>1</v>
      </c>
      <c r="N330">
        <v>0</v>
      </c>
      <c r="O330">
        <v>8</v>
      </c>
      <c r="P330" t="str">
        <f t="shared" si="10"/>
        <v>January</v>
      </c>
      <c r="Q330" t="str">
        <f t="shared" si="11"/>
        <v>Friday</v>
      </c>
      <c r="R330" t="s">
        <v>71</v>
      </c>
    </row>
    <row r="331" spans="1:18">
      <c r="A331">
        <v>2023</v>
      </c>
      <c r="B331" t="s">
        <v>24</v>
      </c>
      <c r="C331" t="s">
        <v>32</v>
      </c>
      <c r="D331" t="s">
        <v>686</v>
      </c>
      <c r="E331" s="2">
        <v>45246</v>
      </c>
      <c r="F331" s="5" t="s">
        <v>687</v>
      </c>
      <c r="G331" t="s">
        <v>35</v>
      </c>
      <c r="H331" t="s">
        <v>28</v>
      </c>
      <c r="I331" t="s">
        <v>21</v>
      </c>
      <c r="J331" t="s">
        <v>22</v>
      </c>
      <c r="K331">
        <v>46</v>
      </c>
      <c r="L331" s="7">
        <v>102</v>
      </c>
      <c r="M331">
        <v>4</v>
      </c>
      <c r="N331">
        <v>2</v>
      </c>
      <c r="O331">
        <v>44</v>
      </c>
      <c r="P331" t="str">
        <f t="shared" si="10"/>
        <v>November</v>
      </c>
      <c r="Q331" t="str">
        <f t="shared" si="11"/>
        <v>Thursday</v>
      </c>
      <c r="R331" t="s">
        <v>37</v>
      </c>
    </row>
    <row r="332" spans="1:18">
      <c r="A332">
        <v>2023</v>
      </c>
      <c r="B332" t="s">
        <v>141</v>
      </c>
      <c r="C332" t="s">
        <v>16</v>
      </c>
      <c r="D332" t="s">
        <v>688</v>
      </c>
      <c r="E332" s="2">
        <v>45180</v>
      </c>
      <c r="F332" s="5" t="s">
        <v>383</v>
      </c>
      <c r="G332" t="s">
        <v>19</v>
      </c>
      <c r="H332" t="s">
        <v>36</v>
      </c>
      <c r="I332" t="s">
        <v>21</v>
      </c>
      <c r="J332" t="s">
        <v>22</v>
      </c>
      <c r="K332">
        <v>60</v>
      </c>
      <c r="L332" s="7">
        <v>66</v>
      </c>
      <c r="M332">
        <v>5</v>
      </c>
      <c r="N332">
        <v>2</v>
      </c>
      <c r="O332">
        <v>43</v>
      </c>
      <c r="P332" t="str">
        <f t="shared" si="10"/>
        <v>September</v>
      </c>
      <c r="Q332" t="str">
        <f t="shared" si="11"/>
        <v>Monday</v>
      </c>
      <c r="R332" t="s">
        <v>124</v>
      </c>
    </row>
    <row r="333" spans="1:18">
      <c r="A333">
        <v>2022</v>
      </c>
      <c r="B333" t="s">
        <v>88</v>
      </c>
      <c r="C333" t="s">
        <v>16</v>
      </c>
      <c r="D333" t="s">
        <v>689</v>
      </c>
      <c r="E333" s="2">
        <v>44915</v>
      </c>
      <c r="F333" s="5" t="s">
        <v>690</v>
      </c>
      <c r="G333" t="s">
        <v>19</v>
      </c>
      <c r="H333" t="s">
        <v>28</v>
      </c>
      <c r="I333" t="s">
        <v>21</v>
      </c>
      <c r="J333" t="s">
        <v>53</v>
      </c>
      <c r="K333">
        <v>46</v>
      </c>
      <c r="L333" s="7">
        <v>111</v>
      </c>
      <c r="M333">
        <v>2</v>
      </c>
      <c r="N333">
        <v>3</v>
      </c>
      <c r="O333">
        <v>23</v>
      </c>
      <c r="P333" t="str">
        <f t="shared" si="10"/>
        <v>December</v>
      </c>
      <c r="Q333" t="str">
        <f t="shared" si="11"/>
        <v>Tuesday</v>
      </c>
      <c r="R333" t="s">
        <v>45</v>
      </c>
    </row>
    <row r="334" spans="1:18">
      <c r="A334">
        <v>2026</v>
      </c>
      <c r="B334" t="s">
        <v>77</v>
      </c>
      <c r="C334" t="s">
        <v>32</v>
      </c>
      <c r="D334" t="s">
        <v>691</v>
      </c>
      <c r="E334" s="2">
        <v>46045</v>
      </c>
      <c r="F334" s="5" t="s">
        <v>692</v>
      </c>
      <c r="G334" t="s">
        <v>57</v>
      </c>
      <c r="H334" t="s">
        <v>20</v>
      </c>
      <c r="I334" t="s">
        <v>44</v>
      </c>
      <c r="J334" t="s">
        <v>53</v>
      </c>
      <c r="K334">
        <v>30</v>
      </c>
      <c r="L334" s="7">
        <v>78</v>
      </c>
      <c r="M334">
        <v>0</v>
      </c>
      <c r="N334">
        <v>3</v>
      </c>
      <c r="O334">
        <v>16</v>
      </c>
      <c r="P334" t="str">
        <f t="shared" si="10"/>
        <v>January</v>
      </c>
      <c r="Q334" t="str">
        <f t="shared" si="11"/>
        <v>Friday</v>
      </c>
      <c r="R334" t="s">
        <v>124</v>
      </c>
    </row>
    <row r="335" spans="1:18">
      <c r="A335">
        <v>2025</v>
      </c>
      <c r="B335" t="s">
        <v>175</v>
      </c>
      <c r="C335" t="s">
        <v>32</v>
      </c>
      <c r="D335" t="s">
        <v>693</v>
      </c>
      <c r="E335" s="2">
        <v>45798</v>
      </c>
      <c r="F335" s="5" t="s">
        <v>694</v>
      </c>
      <c r="G335" t="s">
        <v>19</v>
      </c>
      <c r="H335" t="s">
        <v>67</v>
      </c>
      <c r="I335" t="s">
        <v>29</v>
      </c>
      <c r="J335" t="s">
        <v>22</v>
      </c>
      <c r="K335">
        <v>24</v>
      </c>
      <c r="L335" s="7">
        <v>63</v>
      </c>
      <c r="M335">
        <v>3</v>
      </c>
      <c r="N335">
        <v>5</v>
      </c>
      <c r="O335">
        <v>8</v>
      </c>
      <c r="P335" t="str">
        <f t="shared" si="10"/>
        <v>May</v>
      </c>
      <c r="Q335" t="str">
        <f t="shared" si="11"/>
        <v>Wednesday</v>
      </c>
      <c r="R335" t="s">
        <v>58</v>
      </c>
    </row>
    <row r="336" spans="1:18">
      <c r="A336">
        <v>2022</v>
      </c>
      <c r="B336" t="s">
        <v>131</v>
      </c>
      <c r="C336" t="s">
        <v>32</v>
      </c>
      <c r="D336" t="s">
        <v>695</v>
      </c>
      <c r="E336" s="2">
        <v>44906</v>
      </c>
      <c r="F336" s="5" t="s">
        <v>696</v>
      </c>
      <c r="G336" t="s">
        <v>49</v>
      </c>
      <c r="H336" t="s">
        <v>28</v>
      </c>
      <c r="I336" t="s">
        <v>21</v>
      </c>
      <c r="J336" t="s">
        <v>22</v>
      </c>
      <c r="K336">
        <v>62</v>
      </c>
      <c r="L336" s="7">
        <v>93</v>
      </c>
      <c r="M336">
        <v>3</v>
      </c>
      <c r="N336">
        <v>0</v>
      </c>
      <c r="O336">
        <v>20</v>
      </c>
      <c r="P336" t="str">
        <f t="shared" si="10"/>
        <v>December</v>
      </c>
      <c r="Q336" t="str">
        <f t="shared" si="11"/>
        <v>Sunday</v>
      </c>
      <c r="R336" t="s">
        <v>68</v>
      </c>
    </row>
    <row r="337" spans="1:18">
      <c r="A337">
        <v>2024</v>
      </c>
      <c r="B337" t="s">
        <v>38</v>
      </c>
      <c r="C337" t="s">
        <v>16</v>
      </c>
      <c r="D337" t="s">
        <v>697</v>
      </c>
      <c r="E337" s="2">
        <v>45489</v>
      </c>
      <c r="F337" s="5" t="s">
        <v>698</v>
      </c>
      <c r="G337" t="s">
        <v>35</v>
      </c>
      <c r="H337" t="s">
        <v>20</v>
      </c>
      <c r="I337" t="s">
        <v>29</v>
      </c>
      <c r="J337" t="s">
        <v>22</v>
      </c>
      <c r="K337">
        <v>31</v>
      </c>
      <c r="L337" s="7">
        <v>77</v>
      </c>
      <c r="M337">
        <v>4</v>
      </c>
      <c r="N337">
        <v>1</v>
      </c>
      <c r="O337">
        <v>44</v>
      </c>
      <c r="P337" t="str">
        <f t="shared" si="10"/>
        <v>July</v>
      </c>
      <c r="Q337" t="str">
        <f t="shared" si="11"/>
        <v>Tuesday</v>
      </c>
      <c r="R337" t="s">
        <v>14</v>
      </c>
    </row>
    <row r="338" spans="1:18">
      <c r="A338">
        <v>2024</v>
      </c>
      <c r="B338" t="s">
        <v>88</v>
      </c>
      <c r="C338" t="s">
        <v>32</v>
      </c>
      <c r="D338" t="s">
        <v>699</v>
      </c>
      <c r="E338" s="2">
        <v>45643</v>
      </c>
      <c r="F338" s="5" t="s">
        <v>700</v>
      </c>
      <c r="G338" t="s">
        <v>57</v>
      </c>
      <c r="H338" t="s">
        <v>28</v>
      </c>
      <c r="I338" t="s">
        <v>44</v>
      </c>
      <c r="J338" t="s">
        <v>53</v>
      </c>
      <c r="K338">
        <v>47</v>
      </c>
      <c r="L338" s="7">
        <v>67</v>
      </c>
      <c r="M338">
        <v>3</v>
      </c>
      <c r="N338">
        <v>6</v>
      </c>
      <c r="O338">
        <v>8</v>
      </c>
      <c r="P338" t="str">
        <f t="shared" si="10"/>
        <v>December</v>
      </c>
      <c r="Q338" t="str">
        <f t="shared" si="11"/>
        <v>Tuesday</v>
      </c>
      <c r="R338" t="s">
        <v>71</v>
      </c>
    </row>
    <row r="339" spans="1:18">
      <c r="A339">
        <v>2024</v>
      </c>
      <c r="B339" t="s">
        <v>41</v>
      </c>
      <c r="C339" t="s">
        <v>32</v>
      </c>
      <c r="D339" t="s">
        <v>701</v>
      </c>
      <c r="E339" s="2">
        <v>45505</v>
      </c>
      <c r="F339" s="5" t="s">
        <v>702</v>
      </c>
      <c r="G339" t="s">
        <v>57</v>
      </c>
      <c r="H339" t="s">
        <v>20</v>
      </c>
      <c r="I339" t="s">
        <v>29</v>
      </c>
      <c r="J339" t="s">
        <v>53</v>
      </c>
      <c r="K339">
        <v>31</v>
      </c>
      <c r="L339" s="7">
        <v>52</v>
      </c>
      <c r="M339">
        <v>4</v>
      </c>
      <c r="N339">
        <v>3</v>
      </c>
      <c r="O339">
        <v>35</v>
      </c>
      <c r="P339" t="str">
        <f t="shared" si="10"/>
        <v>August</v>
      </c>
      <c r="Q339" t="str">
        <f t="shared" si="11"/>
        <v>Thursday</v>
      </c>
      <c r="R339" t="s">
        <v>68</v>
      </c>
    </row>
    <row r="340" spans="1:18">
      <c r="A340">
        <v>2022</v>
      </c>
      <c r="B340" t="s">
        <v>85</v>
      </c>
      <c r="C340" t="s">
        <v>32</v>
      </c>
      <c r="D340" t="s">
        <v>703</v>
      </c>
      <c r="E340" s="2">
        <v>44677</v>
      </c>
      <c r="F340" s="5" t="s">
        <v>704</v>
      </c>
      <c r="G340" t="s">
        <v>27</v>
      </c>
      <c r="H340" t="s">
        <v>36</v>
      </c>
      <c r="I340" t="s">
        <v>21</v>
      </c>
      <c r="J340" t="s">
        <v>22</v>
      </c>
      <c r="K340">
        <v>59</v>
      </c>
      <c r="L340" s="7">
        <v>77</v>
      </c>
      <c r="M340">
        <v>4</v>
      </c>
      <c r="N340">
        <v>3</v>
      </c>
      <c r="O340">
        <v>29</v>
      </c>
      <c r="P340" t="str">
        <f t="shared" si="10"/>
        <v>April</v>
      </c>
      <c r="Q340" t="str">
        <f t="shared" si="11"/>
        <v>Tuesday</v>
      </c>
      <c r="R340" t="s">
        <v>105</v>
      </c>
    </row>
    <row r="341" spans="1:18">
      <c r="A341">
        <v>2022</v>
      </c>
      <c r="B341" t="s">
        <v>50</v>
      </c>
      <c r="C341" t="s">
        <v>16</v>
      </c>
      <c r="D341" t="s">
        <v>705</v>
      </c>
      <c r="E341" s="2">
        <v>44730</v>
      </c>
      <c r="F341" s="5" t="s">
        <v>342</v>
      </c>
      <c r="G341" t="s">
        <v>49</v>
      </c>
      <c r="H341" t="s">
        <v>28</v>
      </c>
      <c r="I341" t="s">
        <v>44</v>
      </c>
      <c r="J341" t="s">
        <v>22</v>
      </c>
      <c r="K341">
        <v>33</v>
      </c>
      <c r="L341" s="7">
        <v>86</v>
      </c>
      <c r="M341">
        <v>5</v>
      </c>
      <c r="N341">
        <v>0</v>
      </c>
      <c r="O341">
        <v>10</v>
      </c>
      <c r="P341" t="str">
        <f t="shared" si="10"/>
        <v>June</v>
      </c>
      <c r="Q341" t="str">
        <f t="shared" si="11"/>
        <v>Saturday</v>
      </c>
      <c r="R341" t="s">
        <v>45</v>
      </c>
    </row>
    <row r="342" spans="1:18">
      <c r="A342">
        <v>2024</v>
      </c>
      <c r="B342" t="s">
        <v>159</v>
      </c>
      <c r="C342" t="s">
        <v>16</v>
      </c>
      <c r="D342" t="s">
        <v>706</v>
      </c>
      <c r="E342" s="2">
        <v>45404</v>
      </c>
      <c r="F342" s="5" t="s">
        <v>707</v>
      </c>
      <c r="G342" t="s">
        <v>35</v>
      </c>
      <c r="H342" t="s">
        <v>20</v>
      </c>
      <c r="I342" t="s">
        <v>21</v>
      </c>
      <c r="J342" t="s">
        <v>22</v>
      </c>
      <c r="K342">
        <v>57</v>
      </c>
      <c r="L342" s="7">
        <v>117</v>
      </c>
      <c r="M342">
        <v>1</v>
      </c>
      <c r="N342">
        <v>2</v>
      </c>
      <c r="O342">
        <v>34</v>
      </c>
      <c r="P342" t="str">
        <f t="shared" si="10"/>
        <v>April</v>
      </c>
      <c r="Q342" t="str">
        <f t="shared" si="11"/>
        <v>Monday</v>
      </c>
      <c r="R342" t="s">
        <v>30</v>
      </c>
    </row>
    <row r="343" spans="1:18">
      <c r="A343">
        <v>2023</v>
      </c>
      <c r="B343" t="s">
        <v>41</v>
      </c>
      <c r="C343" t="s">
        <v>32</v>
      </c>
      <c r="D343" t="s">
        <v>708</v>
      </c>
      <c r="E343" s="2">
        <v>45022</v>
      </c>
      <c r="F343" s="5" t="s">
        <v>315</v>
      </c>
      <c r="G343" t="s">
        <v>27</v>
      </c>
      <c r="H343" t="s">
        <v>67</v>
      </c>
      <c r="I343" t="s">
        <v>21</v>
      </c>
      <c r="J343" t="s">
        <v>53</v>
      </c>
      <c r="K343">
        <v>21</v>
      </c>
      <c r="L343" s="7">
        <v>67</v>
      </c>
      <c r="M343">
        <v>1</v>
      </c>
      <c r="N343">
        <v>1</v>
      </c>
      <c r="O343">
        <v>20</v>
      </c>
      <c r="P343" t="str">
        <f t="shared" si="10"/>
        <v>April</v>
      </c>
      <c r="Q343" t="str">
        <f t="shared" si="11"/>
        <v>Thursday</v>
      </c>
      <c r="R343" t="s">
        <v>23</v>
      </c>
    </row>
    <row r="344" spans="1:18">
      <c r="A344">
        <v>2024</v>
      </c>
      <c r="B344" t="s">
        <v>144</v>
      </c>
      <c r="C344" t="s">
        <v>32</v>
      </c>
      <c r="D344" t="s">
        <v>709</v>
      </c>
      <c r="E344" s="2">
        <v>45449</v>
      </c>
      <c r="F344" s="5" t="s">
        <v>512</v>
      </c>
      <c r="G344" t="s">
        <v>27</v>
      </c>
      <c r="H344" t="s">
        <v>67</v>
      </c>
      <c r="I344" t="s">
        <v>21</v>
      </c>
      <c r="J344" t="s">
        <v>53</v>
      </c>
      <c r="K344">
        <v>33</v>
      </c>
      <c r="L344" s="7">
        <v>57</v>
      </c>
      <c r="M344">
        <v>3</v>
      </c>
      <c r="N344">
        <v>2</v>
      </c>
      <c r="O344">
        <v>44</v>
      </c>
      <c r="P344" t="str">
        <f t="shared" si="10"/>
        <v>June</v>
      </c>
      <c r="Q344" t="str">
        <f t="shared" si="11"/>
        <v>Thursday</v>
      </c>
      <c r="R344" t="s">
        <v>23</v>
      </c>
    </row>
    <row r="345" spans="1:18">
      <c r="A345">
        <v>2023</v>
      </c>
      <c r="B345" t="s">
        <v>72</v>
      </c>
      <c r="C345" t="s">
        <v>16</v>
      </c>
      <c r="D345" t="s">
        <v>710</v>
      </c>
      <c r="E345" s="2">
        <v>45260</v>
      </c>
      <c r="F345" s="5" t="s">
        <v>406</v>
      </c>
      <c r="G345" t="s">
        <v>19</v>
      </c>
      <c r="H345" t="s">
        <v>28</v>
      </c>
      <c r="I345" t="s">
        <v>29</v>
      </c>
      <c r="J345" t="s">
        <v>22</v>
      </c>
      <c r="K345">
        <v>25</v>
      </c>
      <c r="L345" s="7">
        <v>59</v>
      </c>
      <c r="M345">
        <v>3</v>
      </c>
      <c r="N345">
        <v>3</v>
      </c>
      <c r="O345">
        <v>24</v>
      </c>
      <c r="P345" t="str">
        <f t="shared" si="10"/>
        <v>November</v>
      </c>
      <c r="Q345" t="str">
        <f t="shared" si="11"/>
        <v>Thursday</v>
      </c>
      <c r="R345" t="s">
        <v>71</v>
      </c>
    </row>
    <row r="346" spans="1:18">
      <c r="A346">
        <v>2023</v>
      </c>
      <c r="B346" t="s">
        <v>175</v>
      </c>
      <c r="C346" t="s">
        <v>32</v>
      </c>
      <c r="D346" t="s">
        <v>711</v>
      </c>
      <c r="E346" s="2">
        <v>45156</v>
      </c>
      <c r="F346" s="5" t="s">
        <v>712</v>
      </c>
      <c r="G346" t="s">
        <v>57</v>
      </c>
      <c r="H346" t="s">
        <v>20</v>
      </c>
      <c r="I346" t="s">
        <v>29</v>
      </c>
      <c r="J346" t="s">
        <v>53</v>
      </c>
      <c r="K346">
        <v>40</v>
      </c>
      <c r="L346" s="7">
        <v>74</v>
      </c>
      <c r="M346">
        <v>4</v>
      </c>
      <c r="N346">
        <v>5</v>
      </c>
      <c r="O346">
        <v>35</v>
      </c>
      <c r="P346" t="str">
        <f t="shared" si="10"/>
        <v>August</v>
      </c>
      <c r="Q346" t="str">
        <f t="shared" si="11"/>
        <v>Friday</v>
      </c>
      <c r="R346" t="s">
        <v>37</v>
      </c>
    </row>
    <row r="347" spans="1:18">
      <c r="A347">
        <v>2024</v>
      </c>
      <c r="B347" t="s">
        <v>93</v>
      </c>
      <c r="C347" t="s">
        <v>32</v>
      </c>
      <c r="D347" t="s">
        <v>713</v>
      </c>
      <c r="E347" s="2">
        <v>45629</v>
      </c>
      <c r="F347" s="5" t="s">
        <v>195</v>
      </c>
      <c r="G347" t="s">
        <v>27</v>
      </c>
      <c r="H347" t="s">
        <v>20</v>
      </c>
      <c r="I347" t="s">
        <v>29</v>
      </c>
      <c r="J347" t="s">
        <v>22</v>
      </c>
      <c r="K347">
        <v>34</v>
      </c>
      <c r="L347" s="7">
        <v>51</v>
      </c>
      <c r="M347">
        <v>4</v>
      </c>
      <c r="N347">
        <v>1</v>
      </c>
      <c r="O347">
        <v>29</v>
      </c>
      <c r="P347" t="str">
        <f t="shared" si="10"/>
        <v>December</v>
      </c>
      <c r="Q347" t="str">
        <f t="shared" si="11"/>
        <v>Tuesday</v>
      </c>
      <c r="R347" t="s">
        <v>23</v>
      </c>
    </row>
    <row r="348" spans="1:18">
      <c r="A348">
        <v>2023</v>
      </c>
      <c r="B348" t="s">
        <v>46</v>
      </c>
      <c r="C348" t="s">
        <v>32</v>
      </c>
      <c r="D348" t="s">
        <v>714</v>
      </c>
      <c r="E348" s="2">
        <v>45206</v>
      </c>
      <c r="F348" s="5" t="s">
        <v>555</v>
      </c>
      <c r="G348" t="s">
        <v>57</v>
      </c>
      <c r="H348" t="s">
        <v>67</v>
      </c>
      <c r="I348" t="s">
        <v>21</v>
      </c>
      <c r="J348" t="s">
        <v>53</v>
      </c>
      <c r="K348">
        <v>38</v>
      </c>
      <c r="L348" s="7">
        <v>77</v>
      </c>
      <c r="M348">
        <v>3</v>
      </c>
      <c r="N348">
        <v>4</v>
      </c>
      <c r="O348">
        <v>29</v>
      </c>
      <c r="P348" t="str">
        <f t="shared" si="10"/>
        <v>October</v>
      </c>
      <c r="Q348" t="str">
        <f t="shared" si="11"/>
        <v>Saturday</v>
      </c>
      <c r="R348" t="s">
        <v>30</v>
      </c>
    </row>
    <row r="349" spans="1:18">
      <c r="A349">
        <v>2025</v>
      </c>
      <c r="B349" t="s">
        <v>24</v>
      </c>
      <c r="C349" t="s">
        <v>32</v>
      </c>
      <c r="D349" t="s">
        <v>715</v>
      </c>
      <c r="E349" s="2">
        <v>45700</v>
      </c>
      <c r="F349" s="5" t="s">
        <v>716</v>
      </c>
      <c r="G349" t="s">
        <v>57</v>
      </c>
      <c r="H349" t="s">
        <v>20</v>
      </c>
      <c r="I349" t="s">
        <v>29</v>
      </c>
      <c r="J349" t="s">
        <v>22</v>
      </c>
      <c r="K349">
        <v>44</v>
      </c>
      <c r="L349" s="7">
        <v>49</v>
      </c>
      <c r="M349">
        <v>0</v>
      </c>
      <c r="N349">
        <v>1</v>
      </c>
      <c r="O349">
        <v>45</v>
      </c>
      <c r="P349" t="str">
        <f t="shared" si="10"/>
        <v>February</v>
      </c>
      <c r="Q349" t="str">
        <f t="shared" si="11"/>
        <v>Wednesday</v>
      </c>
      <c r="R349" t="s">
        <v>14</v>
      </c>
    </row>
    <row r="350" spans="1:18">
      <c r="A350">
        <v>2024</v>
      </c>
      <c r="B350" t="s">
        <v>147</v>
      </c>
      <c r="C350" t="s">
        <v>32</v>
      </c>
      <c r="D350" t="s">
        <v>717</v>
      </c>
      <c r="E350" s="2">
        <v>45452</v>
      </c>
      <c r="F350" s="5" t="s">
        <v>718</v>
      </c>
      <c r="G350" t="s">
        <v>35</v>
      </c>
      <c r="H350" t="s">
        <v>20</v>
      </c>
      <c r="I350" t="s">
        <v>44</v>
      </c>
      <c r="J350" t="s">
        <v>22</v>
      </c>
      <c r="K350">
        <v>62</v>
      </c>
      <c r="L350" s="7">
        <v>48</v>
      </c>
      <c r="M350">
        <v>4</v>
      </c>
      <c r="N350">
        <v>3</v>
      </c>
      <c r="O350">
        <v>12</v>
      </c>
      <c r="P350" t="str">
        <f t="shared" si="10"/>
        <v>June</v>
      </c>
      <c r="Q350" t="str">
        <f t="shared" si="11"/>
        <v>Sunday</v>
      </c>
      <c r="R350" t="s">
        <v>71</v>
      </c>
    </row>
    <row r="351" spans="1:18">
      <c r="A351">
        <v>2026</v>
      </c>
      <c r="B351" t="s">
        <v>156</v>
      </c>
      <c r="C351" t="s">
        <v>16</v>
      </c>
      <c r="D351" t="s">
        <v>719</v>
      </c>
      <c r="E351" s="2">
        <v>46038</v>
      </c>
      <c r="F351" s="5" t="s">
        <v>720</v>
      </c>
      <c r="G351" t="s">
        <v>35</v>
      </c>
      <c r="H351" t="s">
        <v>28</v>
      </c>
      <c r="I351" t="s">
        <v>21</v>
      </c>
      <c r="J351" t="s">
        <v>53</v>
      </c>
      <c r="K351">
        <v>31</v>
      </c>
      <c r="L351" s="7">
        <v>44</v>
      </c>
      <c r="M351">
        <v>0</v>
      </c>
      <c r="N351">
        <v>3</v>
      </c>
      <c r="O351">
        <v>19</v>
      </c>
      <c r="P351" t="str">
        <f t="shared" si="10"/>
        <v>January</v>
      </c>
      <c r="Q351" t="str">
        <f t="shared" si="11"/>
        <v>Friday</v>
      </c>
      <c r="R351" t="s">
        <v>124</v>
      </c>
    </row>
    <row r="352" spans="1:18">
      <c r="A352">
        <v>2024</v>
      </c>
      <c r="B352" t="s">
        <v>147</v>
      </c>
      <c r="C352" t="s">
        <v>32</v>
      </c>
      <c r="D352" t="s">
        <v>721</v>
      </c>
      <c r="E352" s="2">
        <v>45534</v>
      </c>
      <c r="F352" s="5" t="s">
        <v>207</v>
      </c>
      <c r="G352" t="s">
        <v>57</v>
      </c>
      <c r="H352" t="s">
        <v>28</v>
      </c>
      <c r="I352" t="s">
        <v>29</v>
      </c>
      <c r="J352" t="s">
        <v>53</v>
      </c>
      <c r="K352">
        <v>29</v>
      </c>
      <c r="L352" s="7">
        <v>91</v>
      </c>
      <c r="M352">
        <v>2</v>
      </c>
      <c r="N352">
        <v>3</v>
      </c>
      <c r="O352">
        <v>16</v>
      </c>
      <c r="P352" t="str">
        <f t="shared" si="10"/>
        <v>August</v>
      </c>
      <c r="Q352" t="str">
        <f t="shared" si="11"/>
        <v>Friday</v>
      </c>
      <c r="R352" t="s">
        <v>23</v>
      </c>
    </row>
    <row r="353" spans="1:18">
      <c r="A353">
        <v>2024</v>
      </c>
      <c r="B353" t="s">
        <v>277</v>
      </c>
      <c r="C353" t="s">
        <v>32</v>
      </c>
      <c r="D353" t="s">
        <v>722</v>
      </c>
      <c r="E353" s="2">
        <v>45323</v>
      </c>
      <c r="F353" s="5" t="s">
        <v>723</v>
      </c>
      <c r="G353" t="s">
        <v>27</v>
      </c>
      <c r="H353" t="s">
        <v>20</v>
      </c>
      <c r="I353" t="s">
        <v>21</v>
      </c>
      <c r="J353" t="s">
        <v>53</v>
      </c>
      <c r="K353">
        <v>38</v>
      </c>
      <c r="L353" s="7">
        <v>58</v>
      </c>
      <c r="M353">
        <v>4</v>
      </c>
      <c r="N353">
        <v>0</v>
      </c>
      <c r="O353">
        <v>29</v>
      </c>
      <c r="P353" t="str">
        <f t="shared" si="10"/>
        <v>February</v>
      </c>
      <c r="Q353" t="str">
        <f t="shared" si="11"/>
        <v>Thursday</v>
      </c>
      <c r="R353" t="s">
        <v>23</v>
      </c>
    </row>
    <row r="354" spans="1:18">
      <c r="A354">
        <v>2023</v>
      </c>
      <c r="B354" t="s">
        <v>59</v>
      </c>
      <c r="C354" t="s">
        <v>32</v>
      </c>
      <c r="D354" t="s">
        <v>724</v>
      </c>
      <c r="E354" s="2">
        <v>45246</v>
      </c>
      <c r="F354" s="5" t="s">
        <v>725</v>
      </c>
      <c r="G354" t="s">
        <v>35</v>
      </c>
      <c r="H354" t="s">
        <v>67</v>
      </c>
      <c r="I354" t="s">
        <v>21</v>
      </c>
      <c r="J354" t="s">
        <v>22</v>
      </c>
      <c r="K354">
        <v>50</v>
      </c>
      <c r="L354" s="7">
        <v>116</v>
      </c>
      <c r="M354">
        <v>0</v>
      </c>
      <c r="N354">
        <v>3</v>
      </c>
      <c r="O354">
        <v>22</v>
      </c>
      <c r="P354" t="str">
        <f t="shared" si="10"/>
        <v>November</v>
      </c>
      <c r="Q354" t="str">
        <f t="shared" si="11"/>
        <v>Thursday</v>
      </c>
      <c r="R354" t="s">
        <v>124</v>
      </c>
    </row>
    <row r="355" spans="1:18">
      <c r="A355">
        <v>2024</v>
      </c>
      <c r="B355" t="s">
        <v>24</v>
      </c>
      <c r="C355" t="s">
        <v>16</v>
      </c>
      <c r="D355" t="s">
        <v>726</v>
      </c>
      <c r="E355" s="2">
        <v>45566</v>
      </c>
      <c r="F355" s="5" t="s">
        <v>727</v>
      </c>
      <c r="G355" t="s">
        <v>57</v>
      </c>
      <c r="H355" t="s">
        <v>36</v>
      </c>
      <c r="I355" t="s">
        <v>29</v>
      </c>
      <c r="J355" t="s">
        <v>22</v>
      </c>
      <c r="K355">
        <v>62</v>
      </c>
      <c r="L355" s="7">
        <v>51</v>
      </c>
      <c r="M355">
        <v>2</v>
      </c>
      <c r="N355">
        <v>3</v>
      </c>
      <c r="O355">
        <v>43</v>
      </c>
      <c r="P355" t="str">
        <f t="shared" si="10"/>
        <v>October</v>
      </c>
      <c r="Q355" t="str">
        <f t="shared" si="11"/>
        <v>Tuesday</v>
      </c>
      <c r="R355" t="s">
        <v>30</v>
      </c>
    </row>
    <row r="356" spans="1:18">
      <c r="A356">
        <v>2025</v>
      </c>
      <c r="B356" t="s">
        <v>50</v>
      </c>
      <c r="C356" t="s">
        <v>32</v>
      </c>
      <c r="D356" t="s">
        <v>728</v>
      </c>
      <c r="E356" s="2">
        <v>45701</v>
      </c>
      <c r="F356" s="5" t="s">
        <v>402</v>
      </c>
      <c r="G356" t="s">
        <v>27</v>
      </c>
      <c r="H356" t="s">
        <v>20</v>
      </c>
      <c r="I356" t="s">
        <v>44</v>
      </c>
      <c r="J356" t="s">
        <v>22</v>
      </c>
      <c r="K356">
        <v>43</v>
      </c>
      <c r="L356" s="7">
        <v>80</v>
      </c>
      <c r="M356">
        <v>5</v>
      </c>
      <c r="N356">
        <v>2</v>
      </c>
      <c r="O356">
        <v>11</v>
      </c>
      <c r="P356" t="str">
        <f t="shared" si="10"/>
        <v>February</v>
      </c>
      <c r="Q356" t="str">
        <f t="shared" si="11"/>
        <v>Thursday</v>
      </c>
      <c r="R356" t="s">
        <v>30</v>
      </c>
    </row>
    <row r="357" spans="1:18">
      <c r="A357">
        <v>2022</v>
      </c>
      <c r="B357" t="s">
        <v>62</v>
      </c>
      <c r="C357" t="s">
        <v>32</v>
      </c>
      <c r="D357" t="s">
        <v>729</v>
      </c>
      <c r="E357" s="2">
        <v>44853</v>
      </c>
      <c r="F357" s="5" t="s">
        <v>730</v>
      </c>
      <c r="G357" t="s">
        <v>35</v>
      </c>
      <c r="H357" t="s">
        <v>36</v>
      </c>
      <c r="I357" t="s">
        <v>21</v>
      </c>
      <c r="J357" t="s">
        <v>53</v>
      </c>
      <c r="K357">
        <v>43</v>
      </c>
      <c r="L357" s="7">
        <v>79</v>
      </c>
      <c r="M357">
        <v>2</v>
      </c>
      <c r="N357">
        <v>6</v>
      </c>
      <c r="O357">
        <v>40</v>
      </c>
      <c r="P357" t="str">
        <f t="shared" si="10"/>
        <v>October</v>
      </c>
      <c r="Q357" t="str">
        <f t="shared" si="11"/>
        <v>Wednesday</v>
      </c>
      <c r="R357" t="s">
        <v>37</v>
      </c>
    </row>
    <row r="358" spans="1:18">
      <c r="A358">
        <v>2022</v>
      </c>
      <c r="B358" t="s">
        <v>15</v>
      </c>
      <c r="C358" t="s">
        <v>16</v>
      </c>
      <c r="D358" t="s">
        <v>731</v>
      </c>
      <c r="E358" s="2">
        <v>44721</v>
      </c>
      <c r="F358" s="5" t="s">
        <v>732</v>
      </c>
      <c r="G358" t="s">
        <v>19</v>
      </c>
      <c r="H358" t="s">
        <v>36</v>
      </c>
      <c r="I358" t="s">
        <v>21</v>
      </c>
      <c r="J358" t="s">
        <v>53</v>
      </c>
      <c r="K358">
        <v>63</v>
      </c>
      <c r="L358" s="7">
        <v>88</v>
      </c>
      <c r="M358">
        <v>1</v>
      </c>
      <c r="N358">
        <v>1</v>
      </c>
      <c r="O358">
        <v>37</v>
      </c>
      <c r="P358" t="str">
        <f t="shared" si="10"/>
        <v>June</v>
      </c>
      <c r="Q358" t="str">
        <f t="shared" si="11"/>
        <v>Thursday</v>
      </c>
      <c r="R358" t="s">
        <v>105</v>
      </c>
    </row>
    <row r="359" spans="1:18">
      <c r="A359">
        <v>2023</v>
      </c>
      <c r="B359" t="s">
        <v>62</v>
      </c>
      <c r="C359" t="s">
        <v>16</v>
      </c>
      <c r="D359" t="s">
        <v>733</v>
      </c>
      <c r="E359" s="2">
        <v>45050</v>
      </c>
      <c r="F359" s="5" t="s">
        <v>583</v>
      </c>
      <c r="G359" t="s">
        <v>19</v>
      </c>
      <c r="H359" t="s">
        <v>36</v>
      </c>
      <c r="I359" t="s">
        <v>29</v>
      </c>
      <c r="J359" t="s">
        <v>22</v>
      </c>
      <c r="K359">
        <v>51</v>
      </c>
      <c r="L359" s="7">
        <v>60</v>
      </c>
      <c r="M359">
        <v>1</v>
      </c>
      <c r="N359">
        <v>5</v>
      </c>
      <c r="O359">
        <v>15</v>
      </c>
      <c r="P359" t="str">
        <f t="shared" si="10"/>
        <v>May</v>
      </c>
      <c r="Q359" t="str">
        <f t="shared" si="11"/>
        <v>Thursday</v>
      </c>
      <c r="R359" t="s">
        <v>37</v>
      </c>
    </row>
    <row r="360" spans="1:18">
      <c r="A360">
        <v>2022</v>
      </c>
      <c r="B360" t="s">
        <v>85</v>
      </c>
      <c r="C360" t="s">
        <v>16</v>
      </c>
      <c r="D360" t="s">
        <v>734</v>
      </c>
      <c r="E360" s="2">
        <v>44839</v>
      </c>
      <c r="F360" s="5" t="s">
        <v>735</v>
      </c>
      <c r="G360" t="s">
        <v>19</v>
      </c>
      <c r="H360" t="s">
        <v>28</v>
      </c>
      <c r="I360" t="s">
        <v>21</v>
      </c>
      <c r="J360" t="s">
        <v>53</v>
      </c>
      <c r="K360">
        <v>49</v>
      </c>
      <c r="L360" s="7">
        <v>80</v>
      </c>
      <c r="M360">
        <v>3</v>
      </c>
      <c r="N360">
        <v>4</v>
      </c>
      <c r="O360">
        <v>24</v>
      </c>
      <c r="P360" t="str">
        <f t="shared" si="10"/>
        <v>October</v>
      </c>
      <c r="Q360" t="str">
        <f t="shared" si="11"/>
        <v>Wednesday</v>
      </c>
      <c r="R360" t="s">
        <v>68</v>
      </c>
    </row>
    <row r="361" spans="1:18">
      <c r="A361">
        <v>2024</v>
      </c>
      <c r="B361" t="s">
        <v>277</v>
      </c>
      <c r="C361" t="s">
        <v>32</v>
      </c>
      <c r="D361" t="s">
        <v>736</v>
      </c>
      <c r="E361" s="2">
        <v>45655</v>
      </c>
      <c r="F361" s="5" t="s">
        <v>442</v>
      </c>
      <c r="G361" t="s">
        <v>49</v>
      </c>
      <c r="H361" t="s">
        <v>28</v>
      </c>
      <c r="I361" t="s">
        <v>44</v>
      </c>
      <c r="J361" t="s">
        <v>22</v>
      </c>
      <c r="K361">
        <v>59</v>
      </c>
      <c r="L361" s="7">
        <v>95</v>
      </c>
      <c r="M361">
        <v>0</v>
      </c>
      <c r="N361">
        <v>2</v>
      </c>
      <c r="O361">
        <v>45</v>
      </c>
      <c r="P361" t="str">
        <f t="shared" si="10"/>
        <v>December</v>
      </c>
      <c r="Q361" t="str">
        <f t="shared" si="11"/>
        <v>Sunday</v>
      </c>
      <c r="R361" t="s">
        <v>71</v>
      </c>
    </row>
    <row r="362" spans="1:18">
      <c r="A362">
        <v>2023</v>
      </c>
      <c r="B362" t="s">
        <v>88</v>
      </c>
      <c r="C362" t="s">
        <v>16</v>
      </c>
      <c r="D362" t="s">
        <v>737</v>
      </c>
      <c r="E362" s="2">
        <v>45002</v>
      </c>
      <c r="F362" s="5" t="s">
        <v>738</v>
      </c>
      <c r="G362" t="s">
        <v>19</v>
      </c>
      <c r="H362" t="s">
        <v>67</v>
      </c>
      <c r="I362" t="s">
        <v>29</v>
      </c>
      <c r="J362" t="s">
        <v>53</v>
      </c>
      <c r="K362">
        <v>33</v>
      </c>
      <c r="L362" s="7">
        <v>51</v>
      </c>
      <c r="M362">
        <v>2</v>
      </c>
      <c r="N362">
        <v>4</v>
      </c>
      <c r="O362">
        <v>28</v>
      </c>
      <c r="P362" t="str">
        <f t="shared" si="10"/>
        <v>March</v>
      </c>
      <c r="Q362" t="str">
        <f t="shared" si="11"/>
        <v>Friday</v>
      </c>
      <c r="R362" t="s">
        <v>124</v>
      </c>
    </row>
    <row r="363" spans="1:18">
      <c r="A363">
        <v>2024</v>
      </c>
      <c r="B363" t="s">
        <v>208</v>
      </c>
      <c r="C363" t="s">
        <v>32</v>
      </c>
      <c r="D363" t="s">
        <v>739</v>
      </c>
      <c r="E363" s="2">
        <v>45545</v>
      </c>
      <c r="F363" s="5" t="s">
        <v>740</v>
      </c>
      <c r="G363" t="s">
        <v>19</v>
      </c>
      <c r="H363" t="s">
        <v>28</v>
      </c>
      <c r="I363" t="s">
        <v>29</v>
      </c>
      <c r="J363" t="s">
        <v>22</v>
      </c>
      <c r="K363">
        <v>59</v>
      </c>
      <c r="L363" s="7">
        <v>89</v>
      </c>
      <c r="M363">
        <v>0</v>
      </c>
      <c r="N363">
        <v>6</v>
      </c>
      <c r="O363">
        <v>33</v>
      </c>
      <c r="P363" t="str">
        <f t="shared" si="10"/>
        <v>September</v>
      </c>
      <c r="Q363" t="str">
        <f t="shared" si="11"/>
        <v>Tuesday</v>
      </c>
      <c r="R363" t="s">
        <v>58</v>
      </c>
    </row>
    <row r="364" spans="1:18">
      <c r="A364">
        <v>2025</v>
      </c>
      <c r="B364" t="s">
        <v>72</v>
      </c>
      <c r="C364" t="s">
        <v>32</v>
      </c>
      <c r="D364" t="s">
        <v>741</v>
      </c>
      <c r="E364" s="2">
        <v>45733</v>
      </c>
      <c r="F364" s="5" t="s">
        <v>742</v>
      </c>
      <c r="G364" t="s">
        <v>19</v>
      </c>
      <c r="H364" t="s">
        <v>20</v>
      </c>
      <c r="I364" t="s">
        <v>21</v>
      </c>
      <c r="J364" t="s">
        <v>22</v>
      </c>
      <c r="K364">
        <v>45</v>
      </c>
      <c r="L364" s="7">
        <v>85</v>
      </c>
      <c r="M364">
        <v>2</v>
      </c>
      <c r="N364">
        <v>0</v>
      </c>
      <c r="O364">
        <v>29</v>
      </c>
      <c r="P364" t="str">
        <f t="shared" si="10"/>
        <v>March</v>
      </c>
      <c r="Q364" t="str">
        <f t="shared" si="11"/>
        <v>Monday</v>
      </c>
      <c r="R364" t="s">
        <v>124</v>
      </c>
    </row>
    <row r="365" spans="1:18">
      <c r="A365">
        <v>2023</v>
      </c>
      <c r="B365" t="s">
        <v>85</v>
      </c>
      <c r="C365" t="s">
        <v>32</v>
      </c>
      <c r="D365" t="s">
        <v>743</v>
      </c>
      <c r="E365" s="2">
        <v>45104</v>
      </c>
      <c r="F365" s="5" t="s">
        <v>305</v>
      </c>
      <c r="G365" t="s">
        <v>27</v>
      </c>
      <c r="H365" t="s">
        <v>67</v>
      </c>
      <c r="I365" t="s">
        <v>44</v>
      </c>
      <c r="J365" t="s">
        <v>53</v>
      </c>
      <c r="K365">
        <v>57</v>
      </c>
      <c r="L365" s="7">
        <v>94</v>
      </c>
      <c r="M365">
        <v>0</v>
      </c>
      <c r="N365">
        <v>0</v>
      </c>
      <c r="O365">
        <v>23</v>
      </c>
      <c r="P365" t="str">
        <f t="shared" si="10"/>
        <v>June</v>
      </c>
      <c r="Q365" t="str">
        <f t="shared" si="11"/>
        <v>Tuesday</v>
      </c>
      <c r="R365" t="s">
        <v>23</v>
      </c>
    </row>
    <row r="366" spans="1:18">
      <c r="A366">
        <v>2025</v>
      </c>
      <c r="B366" t="s">
        <v>85</v>
      </c>
      <c r="C366" t="s">
        <v>32</v>
      </c>
      <c r="D366" t="s">
        <v>744</v>
      </c>
      <c r="E366" s="2">
        <v>45837</v>
      </c>
      <c r="F366" s="5" t="s">
        <v>745</v>
      </c>
      <c r="G366" t="s">
        <v>27</v>
      </c>
      <c r="H366" t="s">
        <v>36</v>
      </c>
      <c r="I366" t="s">
        <v>44</v>
      </c>
      <c r="J366" t="s">
        <v>53</v>
      </c>
      <c r="K366">
        <v>30</v>
      </c>
      <c r="L366" s="7">
        <v>53</v>
      </c>
      <c r="M366">
        <v>3</v>
      </c>
      <c r="N366">
        <v>1</v>
      </c>
      <c r="O366">
        <v>39</v>
      </c>
      <c r="P366" t="str">
        <f t="shared" si="10"/>
        <v>June</v>
      </c>
      <c r="Q366" t="str">
        <f t="shared" si="11"/>
        <v>Sunday</v>
      </c>
      <c r="R366" t="s">
        <v>68</v>
      </c>
    </row>
    <row r="367" spans="1:18">
      <c r="A367">
        <v>2025</v>
      </c>
      <c r="B367" t="s">
        <v>277</v>
      </c>
      <c r="C367" t="s">
        <v>16</v>
      </c>
      <c r="D367" t="s">
        <v>746</v>
      </c>
      <c r="E367" s="2">
        <v>46002</v>
      </c>
      <c r="F367" s="5" t="s">
        <v>747</v>
      </c>
      <c r="G367" t="s">
        <v>27</v>
      </c>
      <c r="H367" t="s">
        <v>36</v>
      </c>
      <c r="I367" t="s">
        <v>29</v>
      </c>
      <c r="J367" t="s">
        <v>53</v>
      </c>
      <c r="K367">
        <v>34</v>
      </c>
      <c r="L367" s="7">
        <v>106</v>
      </c>
      <c r="M367">
        <v>0</v>
      </c>
      <c r="N367">
        <v>3</v>
      </c>
      <c r="O367">
        <v>23</v>
      </c>
      <c r="P367" t="str">
        <f t="shared" si="10"/>
        <v>December</v>
      </c>
      <c r="Q367" t="str">
        <f t="shared" si="11"/>
        <v>Thursday</v>
      </c>
      <c r="R367" t="s">
        <v>45</v>
      </c>
    </row>
    <row r="368" spans="1:18">
      <c r="A368">
        <v>2024</v>
      </c>
      <c r="B368" t="s">
        <v>93</v>
      </c>
      <c r="C368" t="s">
        <v>32</v>
      </c>
      <c r="D368" t="s">
        <v>748</v>
      </c>
      <c r="E368" s="2">
        <v>45353</v>
      </c>
      <c r="F368" s="5" t="s">
        <v>749</v>
      </c>
      <c r="G368" t="s">
        <v>49</v>
      </c>
      <c r="H368" t="s">
        <v>28</v>
      </c>
      <c r="I368" t="s">
        <v>21</v>
      </c>
      <c r="J368" t="s">
        <v>22</v>
      </c>
      <c r="K368">
        <v>44</v>
      </c>
      <c r="L368" s="7">
        <v>50</v>
      </c>
      <c r="M368">
        <v>2</v>
      </c>
      <c r="N368">
        <v>0</v>
      </c>
      <c r="O368">
        <v>29</v>
      </c>
      <c r="P368" t="str">
        <f t="shared" si="10"/>
        <v>March</v>
      </c>
      <c r="Q368" t="str">
        <f t="shared" si="11"/>
        <v>Saturday</v>
      </c>
      <c r="R368" t="s">
        <v>105</v>
      </c>
    </row>
    <row r="369" spans="1:18">
      <c r="A369">
        <v>2023</v>
      </c>
      <c r="B369" t="s">
        <v>24</v>
      </c>
      <c r="C369" t="s">
        <v>16</v>
      </c>
      <c r="D369" t="s">
        <v>750</v>
      </c>
      <c r="E369" s="2">
        <v>45064</v>
      </c>
      <c r="F369" s="5" t="s">
        <v>751</v>
      </c>
      <c r="G369" t="s">
        <v>27</v>
      </c>
      <c r="H369" t="s">
        <v>28</v>
      </c>
      <c r="I369" t="s">
        <v>44</v>
      </c>
      <c r="J369" t="s">
        <v>53</v>
      </c>
      <c r="K369">
        <v>32</v>
      </c>
      <c r="L369" s="7">
        <v>66</v>
      </c>
      <c r="M369">
        <v>5</v>
      </c>
      <c r="N369">
        <v>1</v>
      </c>
      <c r="O369">
        <v>15</v>
      </c>
      <c r="P369" t="str">
        <f t="shared" si="10"/>
        <v>May</v>
      </c>
      <c r="Q369" t="str">
        <f t="shared" si="11"/>
        <v>Thursday</v>
      </c>
      <c r="R369" t="s">
        <v>23</v>
      </c>
    </row>
    <row r="370" spans="1:18">
      <c r="A370">
        <v>2023</v>
      </c>
      <c r="B370" t="s">
        <v>136</v>
      </c>
      <c r="C370" t="s">
        <v>32</v>
      </c>
      <c r="D370" t="s">
        <v>752</v>
      </c>
      <c r="E370" s="2">
        <v>45026</v>
      </c>
      <c r="F370" s="5" t="s">
        <v>753</v>
      </c>
      <c r="G370" t="s">
        <v>57</v>
      </c>
      <c r="H370" t="s">
        <v>28</v>
      </c>
      <c r="I370" t="s">
        <v>21</v>
      </c>
      <c r="J370" t="s">
        <v>22</v>
      </c>
      <c r="K370">
        <v>26</v>
      </c>
      <c r="L370" s="7">
        <v>110</v>
      </c>
      <c r="M370">
        <v>3</v>
      </c>
      <c r="N370">
        <v>4</v>
      </c>
      <c r="O370">
        <v>32</v>
      </c>
      <c r="P370" t="str">
        <f t="shared" si="10"/>
        <v>April</v>
      </c>
      <c r="Q370" t="str">
        <f t="shared" si="11"/>
        <v>Monday</v>
      </c>
      <c r="R370" t="s">
        <v>14</v>
      </c>
    </row>
    <row r="371" spans="1:18">
      <c r="A371">
        <v>2022</v>
      </c>
      <c r="B371" t="s">
        <v>41</v>
      </c>
      <c r="C371" t="s">
        <v>32</v>
      </c>
      <c r="D371" t="s">
        <v>754</v>
      </c>
      <c r="E371" s="2">
        <v>44781</v>
      </c>
      <c r="F371" s="5" t="s">
        <v>659</v>
      </c>
      <c r="G371" t="s">
        <v>49</v>
      </c>
      <c r="H371" t="s">
        <v>67</v>
      </c>
      <c r="I371" t="s">
        <v>21</v>
      </c>
      <c r="J371" t="s">
        <v>22</v>
      </c>
      <c r="K371">
        <v>53</v>
      </c>
      <c r="L371" s="7">
        <v>65</v>
      </c>
      <c r="M371">
        <v>5</v>
      </c>
      <c r="N371">
        <v>5</v>
      </c>
      <c r="O371">
        <v>41</v>
      </c>
      <c r="P371" t="str">
        <f t="shared" si="10"/>
        <v>August</v>
      </c>
      <c r="Q371" t="str">
        <f t="shared" si="11"/>
        <v>Monday</v>
      </c>
      <c r="R371" t="s">
        <v>14</v>
      </c>
    </row>
    <row r="372" spans="1:18">
      <c r="A372">
        <v>2022</v>
      </c>
      <c r="B372" t="s">
        <v>15</v>
      </c>
      <c r="C372" t="s">
        <v>16</v>
      </c>
      <c r="D372" t="s">
        <v>755</v>
      </c>
      <c r="E372" s="2">
        <v>44573</v>
      </c>
      <c r="F372" s="5" t="s">
        <v>756</v>
      </c>
      <c r="G372" t="s">
        <v>19</v>
      </c>
      <c r="H372" t="s">
        <v>28</v>
      </c>
      <c r="I372" t="s">
        <v>44</v>
      </c>
      <c r="J372" t="s">
        <v>53</v>
      </c>
      <c r="K372">
        <v>37</v>
      </c>
      <c r="L372" s="7">
        <v>41</v>
      </c>
      <c r="M372">
        <v>2</v>
      </c>
      <c r="N372">
        <v>4</v>
      </c>
      <c r="O372">
        <v>41</v>
      </c>
      <c r="P372" t="str">
        <f t="shared" si="10"/>
        <v>January</v>
      </c>
      <c r="Q372" t="str">
        <f t="shared" si="11"/>
        <v>Wednesday</v>
      </c>
      <c r="R372" t="s">
        <v>71</v>
      </c>
    </row>
    <row r="373" spans="1:18">
      <c r="A373">
        <v>2023</v>
      </c>
      <c r="B373" t="s">
        <v>62</v>
      </c>
      <c r="C373" t="s">
        <v>32</v>
      </c>
      <c r="D373" t="s">
        <v>757</v>
      </c>
      <c r="E373" s="2">
        <v>45283</v>
      </c>
      <c r="F373" s="5" t="s">
        <v>758</v>
      </c>
      <c r="G373" t="s">
        <v>49</v>
      </c>
      <c r="H373" t="s">
        <v>28</v>
      </c>
      <c r="I373" t="s">
        <v>44</v>
      </c>
      <c r="J373" t="s">
        <v>22</v>
      </c>
      <c r="K373">
        <v>40</v>
      </c>
      <c r="L373" s="7">
        <v>97</v>
      </c>
      <c r="M373">
        <v>5</v>
      </c>
      <c r="N373">
        <v>4</v>
      </c>
      <c r="O373">
        <v>45</v>
      </c>
      <c r="P373" t="str">
        <f t="shared" si="10"/>
        <v>December</v>
      </c>
      <c r="Q373" t="str">
        <f t="shared" si="11"/>
        <v>Saturday</v>
      </c>
      <c r="R373" t="s">
        <v>71</v>
      </c>
    </row>
    <row r="374" spans="1:18">
      <c r="A374">
        <v>2024</v>
      </c>
      <c r="B374" t="s">
        <v>24</v>
      </c>
      <c r="C374" t="s">
        <v>32</v>
      </c>
      <c r="D374" t="s">
        <v>759</v>
      </c>
      <c r="E374" s="2">
        <v>45430</v>
      </c>
      <c r="F374" s="5" t="s">
        <v>716</v>
      </c>
      <c r="G374" t="s">
        <v>35</v>
      </c>
      <c r="H374" t="s">
        <v>67</v>
      </c>
      <c r="I374" t="s">
        <v>44</v>
      </c>
      <c r="J374" t="s">
        <v>22</v>
      </c>
      <c r="K374">
        <v>32</v>
      </c>
      <c r="L374" s="7">
        <v>82</v>
      </c>
      <c r="M374">
        <v>2</v>
      </c>
      <c r="N374">
        <v>5</v>
      </c>
      <c r="O374">
        <v>10</v>
      </c>
      <c r="P374" t="str">
        <f t="shared" si="10"/>
        <v>May</v>
      </c>
      <c r="Q374" t="str">
        <f t="shared" si="11"/>
        <v>Saturday</v>
      </c>
      <c r="R374" t="s">
        <v>14</v>
      </c>
    </row>
    <row r="375" spans="1:18">
      <c r="A375">
        <v>2023</v>
      </c>
      <c r="B375" t="s">
        <v>175</v>
      </c>
      <c r="C375" t="s">
        <v>32</v>
      </c>
      <c r="D375" t="s">
        <v>760</v>
      </c>
      <c r="E375" s="2">
        <v>44930</v>
      </c>
      <c r="F375" s="5" t="s">
        <v>761</v>
      </c>
      <c r="G375" t="s">
        <v>19</v>
      </c>
      <c r="H375" t="s">
        <v>36</v>
      </c>
      <c r="I375" t="s">
        <v>29</v>
      </c>
      <c r="J375" t="s">
        <v>22</v>
      </c>
      <c r="K375">
        <v>19</v>
      </c>
      <c r="L375" s="7">
        <v>55</v>
      </c>
      <c r="M375">
        <v>5</v>
      </c>
      <c r="N375">
        <v>3</v>
      </c>
      <c r="O375">
        <v>11</v>
      </c>
      <c r="P375" t="str">
        <f t="shared" si="10"/>
        <v>January</v>
      </c>
      <c r="Q375" t="str">
        <f t="shared" si="11"/>
        <v>Wednesday</v>
      </c>
      <c r="R375" t="s">
        <v>23</v>
      </c>
    </row>
    <row r="376" spans="1:18">
      <c r="A376">
        <v>2024</v>
      </c>
      <c r="B376" t="s">
        <v>113</v>
      </c>
      <c r="C376" t="s">
        <v>16</v>
      </c>
      <c r="D376" t="s">
        <v>762</v>
      </c>
      <c r="E376" s="2">
        <v>45603</v>
      </c>
      <c r="F376" s="5" t="s">
        <v>763</v>
      </c>
      <c r="G376" t="s">
        <v>49</v>
      </c>
      <c r="H376" t="s">
        <v>67</v>
      </c>
      <c r="I376" t="s">
        <v>29</v>
      </c>
      <c r="J376" t="s">
        <v>22</v>
      </c>
      <c r="K376">
        <v>41</v>
      </c>
      <c r="L376" s="7">
        <v>109</v>
      </c>
      <c r="M376">
        <v>4</v>
      </c>
      <c r="N376">
        <v>1</v>
      </c>
      <c r="O376">
        <v>19</v>
      </c>
      <c r="P376" t="str">
        <f t="shared" si="10"/>
        <v>November</v>
      </c>
      <c r="Q376" t="str">
        <f t="shared" si="11"/>
        <v>Thursday</v>
      </c>
      <c r="R376" t="s">
        <v>45</v>
      </c>
    </row>
    <row r="377" spans="1:18">
      <c r="A377">
        <v>2022</v>
      </c>
      <c r="B377" t="s">
        <v>136</v>
      </c>
      <c r="C377" t="s">
        <v>32</v>
      </c>
      <c r="D377" t="s">
        <v>764</v>
      </c>
      <c r="E377" s="2">
        <v>44743</v>
      </c>
      <c r="F377" s="5" t="s">
        <v>765</v>
      </c>
      <c r="G377" t="s">
        <v>57</v>
      </c>
      <c r="H377" t="s">
        <v>28</v>
      </c>
      <c r="I377" t="s">
        <v>44</v>
      </c>
      <c r="J377" t="s">
        <v>53</v>
      </c>
      <c r="K377">
        <v>54</v>
      </c>
      <c r="L377" s="7">
        <v>100</v>
      </c>
      <c r="M377">
        <v>3</v>
      </c>
      <c r="N377">
        <v>6</v>
      </c>
      <c r="O377">
        <v>35</v>
      </c>
      <c r="P377" t="str">
        <f t="shared" si="10"/>
        <v>July</v>
      </c>
      <c r="Q377" t="str">
        <f t="shared" si="11"/>
        <v>Friday</v>
      </c>
      <c r="R377" t="s">
        <v>14</v>
      </c>
    </row>
    <row r="378" spans="1:18">
      <c r="A378">
        <v>2025</v>
      </c>
      <c r="B378" t="s">
        <v>147</v>
      </c>
      <c r="C378" t="s">
        <v>16</v>
      </c>
      <c r="D378" t="s">
        <v>766</v>
      </c>
      <c r="E378" s="2">
        <v>45895</v>
      </c>
      <c r="F378" s="5" t="s">
        <v>767</v>
      </c>
      <c r="G378" t="s">
        <v>19</v>
      </c>
      <c r="H378" t="s">
        <v>67</v>
      </c>
      <c r="I378" t="s">
        <v>44</v>
      </c>
      <c r="J378" t="s">
        <v>22</v>
      </c>
      <c r="K378">
        <v>21</v>
      </c>
      <c r="L378" s="7">
        <v>103</v>
      </c>
      <c r="M378">
        <v>1</v>
      </c>
      <c r="N378">
        <v>4</v>
      </c>
      <c r="O378">
        <v>37</v>
      </c>
      <c r="P378" t="str">
        <f t="shared" si="10"/>
        <v>August</v>
      </c>
      <c r="Q378" t="str">
        <f t="shared" si="11"/>
        <v>Tuesday</v>
      </c>
      <c r="R378" t="s">
        <v>45</v>
      </c>
    </row>
    <row r="379" spans="1:18">
      <c r="A379">
        <v>2023</v>
      </c>
      <c r="B379" t="s">
        <v>277</v>
      </c>
      <c r="C379" t="s">
        <v>32</v>
      </c>
      <c r="D379" t="s">
        <v>768</v>
      </c>
      <c r="E379" s="2">
        <v>44941</v>
      </c>
      <c r="F379" s="5" t="s">
        <v>769</v>
      </c>
      <c r="G379" t="s">
        <v>27</v>
      </c>
      <c r="H379" t="s">
        <v>36</v>
      </c>
      <c r="I379" t="s">
        <v>21</v>
      </c>
      <c r="J379" t="s">
        <v>22</v>
      </c>
      <c r="K379">
        <v>64</v>
      </c>
      <c r="L379" s="7">
        <v>64</v>
      </c>
      <c r="M379">
        <v>3</v>
      </c>
      <c r="N379">
        <v>4</v>
      </c>
      <c r="O379">
        <v>17</v>
      </c>
      <c r="P379" t="str">
        <f t="shared" si="10"/>
        <v>January</v>
      </c>
      <c r="Q379" t="str">
        <f t="shared" si="11"/>
        <v>Sunday</v>
      </c>
      <c r="R379" t="s">
        <v>68</v>
      </c>
    </row>
    <row r="380" spans="1:18">
      <c r="A380">
        <v>2022</v>
      </c>
      <c r="B380" t="s">
        <v>38</v>
      </c>
      <c r="C380" t="s">
        <v>32</v>
      </c>
      <c r="D380" t="s">
        <v>770</v>
      </c>
      <c r="E380" s="2">
        <v>44794</v>
      </c>
      <c r="F380" s="5" t="s">
        <v>771</v>
      </c>
      <c r="G380" t="s">
        <v>35</v>
      </c>
      <c r="H380" t="s">
        <v>67</v>
      </c>
      <c r="I380" t="s">
        <v>21</v>
      </c>
      <c r="J380" t="s">
        <v>53</v>
      </c>
      <c r="K380">
        <v>58</v>
      </c>
      <c r="L380" s="7">
        <v>81</v>
      </c>
      <c r="M380">
        <v>3</v>
      </c>
      <c r="N380">
        <v>4</v>
      </c>
      <c r="O380">
        <v>40</v>
      </c>
      <c r="P380" t="str">
        <f t="shared" si="10"/>
        <v>August</v>
      </c>
      <c r="Q380" t="str">
        <f t="shared" si="11"/>
        <v>Sunday</v>
      </c>
      <c r="R380" t="s">
        <v>58</v>
      </c>
    </row>
    <row r="381" spans="1:18">
      <c r="A381">
        <v>2024</v>
      </c>
      <c r="B381" t="s">
        <v>131</v>
      </c>
      <c r="C381" t="s">
        <v>16</v>
      </c>
      <c r="D381" t="s">
        <v>772</v>
      </c>
      <c r="E381" s="2">
        <v>45441</v>
      </c>
      <c r="F381" s="5" t="s">
        <v>773</v>
      </c>
      <c r="G381" t="s">
        <v>27</v>
      </c>
      <c r="H381" t="s">
        <v>36</v>
      </c>
      <c r="I381" t="s">
        <v>44</v>
      </c>
      <c r="J381" t="s">
        <v>22</v>
      </c>
      <c r="K381">
        <v>29</v>
      </c>
      <c r="L381" s="7">
        <v>104</v>
      </c>
      <c r="M381">
        <v>5</v>
      </c>
      <c r="N381">
        <v>6</v>
      </c>
      <c r="O381">
        <v>34</v>
      </c>
      <c r="P381" t="str">
        <f t="shared" si="10"/>
        <v>May</v>
      </c>
      <c r="Q381" t="str">
        <f t="shared" si="11"/>
        <v>Wednesday</v>
      </c>
      <c r="R381" t="s">
        <v>23</v>
      </c>
    </row>
    <row r="382" spans="1:18">
      <c r="A382">
        <v>2022</v>
      </c>
      <c r="B382" t="s">
        <v>85</v>
      </c>
      <c r="C382" t="s">
        <v>32</v>
      </c>
      <c r="D382" t="s">
        <v>774</v>
      </c>
      <c r="E382" s="2">
        <v>44817</v>
      </c>
      <c r="F382" s="5" t="s">
        <v>775</v>
      </c>
      <c r="G382" t="s">
        <v>27</v>
      </c>
      <c r="H382" t="s">
        <v>28</v>
      </c>
      <c r="I382" t="s">
        <v>44</v>
      </c>
      <c r="J382" t="s">
        <v>22</v>
      </c>
      <c r="K382">
        <v>59</v>
      </c>
      <c r="L382" s="7">
        <v>52</v>
      </c>
      <c r="M382">
        <v>4</v>
      </c>
      <c r="N382">
        <v>2</v>
      </c>
      <c r="O382">
        <v>30</v>
      </c>
      <c r="P382" t="str">
        <f t="shared" si="10"/>
        <v>September</v>
      </c>
      <c r="Q382" t="str">
        <f t="shared" si="11"/>
        <v>Tuesday</v>
      </c>
      <c r="R382" t="s">
        <v>30</v>
      </c>
    </row>
    <row r="383" spans="1:18">
      <c r="A383">
        <v>2024</v>
      </c>
      <c r="B383" t="s">
        <v>50</v>
      </c>
      <c r="C383" t="s">
        <v>32</v>
      </c>
      <c r="D383" t="s">
        <v>776</v>
      </c>
      <c r="E383" s="2">
        <v>45388</v>
      </c>
      <c r="F383" s="5" t="s">
        <v>777</v>
      </c>
      <c r="G383" t="s">
        <v>49</v>
      </c>
      <c r="H383" t="s">
        <v>67</v>
      </c>
      <c r="I383" t="s">
        <v>44</v>
      </c>
      <c r="J383" t="s">
        <v>53</v>
      </c>
      <c r="K383">
        <v>59</v>
      </c>
      <c r="L383" s="7">
        <v>104</v>
      </c>
      <c r="M383">
        <v>4</v>
      </c>
      <c r="N383">
        <v>3</v>
      </c>
      <c r="O383">
        <v>19</v>
      </c>
      <c r="P383" t="str">
        <f t="shared" si="10"/>
        <v>April</v>
      </c>
      <c r="Q383" t="str">
        <f t="shared" si="11"/>
        <v>Saturday</v>
      </c>
      <c r="R383" t="s">
        <v>124</v>
      </c>
    </row>
    <row r="384" spans="1:18">
      <c r="A384">
        <v>2024</v>
      </c>
      <c r="B384" t="s">
        <v>62</v>
      </c>
      <c r="C384" t="s">
        <v>32</v>
      </c>
      <c r="D384" t="s">
        <v>778</v>
      </c>
      <c r="E384" s="2">
        <v>45436</v>
      </c>
      <c r="F384" s="5" t="s">
        <v>779</v>
      </c>
      <c r="G384" t="s">
        <v>57</v>
      </c>
      <c r="H384" t="s">
        <v>67</v>
      </c>
      <c r="I384" t="s">
        <v>44</v>
      </c>
      <c r="J384" t="s">
        <v>22</v>
      </c>
      <c r="K384">
        <v>58</v>
      </c>
      <c r="L384" s="7">
        <v>64</v>
      </c>
      <c r="M384">
        <v>3</v>
      </c>
      <c r="N384">
        <v>5</v>
      </c>
      <c r="O384">
        <v>10</v>
      </c>
      <c r="P384" t="str">
        <f t="shared" si="10"/>
        <v>May</v>
      </c>
      <c r="Q384" t="str">
        <f t="shared" si="11"/>
        <v>Friday</v>
      </c>
      <c r="R384" t="s">
        <v>30</v>
      </c>
    </row>
    <row r="385" spans="1:18">
      <c r="A385">
        <v>2026</v>
      </c>
      <c r="B385" t="s">
        <v>131</v>
      </c>
      <c r="C385" t="s">
        <v>16</v>
      </c>
      <c r="D385" t="s">
        <v>780</v>
      </c>
      <c r="E385" s="2">
        <v>46029</v>
      </c>
      <c r="F385" s="5" t="s">
        <v>781</v>
      </c>
      <c r="G385" t="s">
        <v>57</v>
      </c>
      <c r="H385" t="s">
        <v>28</v>
      </c>
      <c r="I385" t="s">
        <v>44</v>
      </c>
      <c r="J385" t="s">
        <v>53</v>
      </c>
      <c r="K385">
        <v>36</v>
      </c>
      <c r="L385" s="7">
        <v>42</v>
      </c>
      <c r="M385">
        <v>2</v>
      </c>
      <c r="N385">
        <v>4</v>
      </c>
      <c r="O385">
        <v>14</v>
      </c>
      <c r="P385" t="str">
        <f t="shared" si="10"/>
        <v>January</v>
      </c>
      <c r="Q385" t="str">
        <f t="shared" si="11"/>
        <v>Wednesday</v>
      </c>
      <c r="R385" t="s">
        <v>124</v>
      </c>
    </row>
    <row r="386" spans="1:18">
      <c r="A386">
        <v>2023</v>
      </c>
      <c r="B386" t="s">
        <v>131</v>
      </c>
      <c r="C386" t="s">
        <v>32</v>
      </c>
      <c r="D386" t="s">
        <v>782</v>
      </c>
      <c r="E386" s="2">
        <v>45005</v>
      </c>
      <c r="F386" s="5" t="s">
        <v>783</v>
      </c>
      <c r="G386" t="s">
        <v>19</v>
      </c>
      <c r="H386" t="s">
        <v>20</v>
      </c>
      <c r="I386" t="s">
        <v>29</v>
      </c>
      <c r="J386" t="s">
        <v>53</v>
      </c>
      <c r="K386">
        <v>51</v>
      </c>
      <c r="L386" s="7">
        <v>86</v>
      </c>
      <c r="M386">
        <v>4</v>
      </c>
      <c r="N386">
        <v>0</v>
      </c>
      <c r="O386">
        <v>35</v>
      </c>
      <c r="P386" t="str">
        <f t="shared" si="10"/>
        <v>March</v>
      </c>
      <c r="Q386" t="str">
        <f t="shared" si="11"/>
        <v>Monday</v>
      </c>
      <c r="R386" t="s">
        <v>37</v>
      </c>
    </row>
    <row r="387" spans="1:18">
      <c r="A387">
        <v>2025</v>
      </c>
      <c r="B387" t="s">
        <v>172</v>
      </c>
      <c r="C387" t="s">
        <v>32</v>
      </c>
      <c r="D387" t="s">
        <v>784</v>
      </c>
      <c r="E387" s="2">
        <v>45880</v>
      </c>
      <c r="F387" s="5" t="s">
        <v>785</v>
      </c>
      <c r="G387" t="s">
        <v>35</v>
      </c>
      <c r="H387" t="s">
        <v>28</v>
      </c>
      <c r="I387" t="s">
        <v>21</v>
      </c>
      <c r="J387" t="s">
        <v>53</v>
      </c>
      <c r="K387">
        <v>38</v>
      </c>
      <c r="L387" s="7">
        <v>95</v>
      </c>
      <c r="M387">
        <v>1</v>
      </c>
      <c r="N387">
        <v>5</v>
      </c>
      <c r="O387">
        <v>8</v>
      </c>
      <c r="P387" t="str">
        <f t="shared" ref="P387:P401" si="12">TEXT(E387,"mmmm")</f>
        <v>August</v>
      </c>
      <c r="Q387" t="str">
        <f t="shared" ref="Q387:Q401" si="13">TEXT(E387,"dddd")</f>
        <v>Monday</v>
      </c>
      <c r="R387" t="s">
        <v>58</v>
      </c>
    </row>
    <row r="388" spans="1:18">
      <c r="A388">
        <v>2022</v>
      </c>
      <c r="B388" t="s">
        <v>59</v>
      </c>
      <c r="C388" t="s">
        <v>16</v>
      </c>
      <c r="D388" t="s">
        <v>786</v>
      </c>
      <c r="E388" s="2">
        <v>44813</v>
      </c>
      <c r="F388" s="5" t="s">
        <v>787</v>
      </c>
      <c r="G388" t="s">
        <v>35</v>
      </c>
      <c r="H388" t="s">
        <v>67</v>
      </c>
      <c r="I388" t="s">
        <v>44</v>
      </c>
      <c r="J388" t="s">
        <v>22</v>
      </c>
      <c r="K388">
        <v>26</v>
      </c>
      <c r="L388" s="7">
        <v>119</v>
      </c>
      <c r="M388">
        <v>0</v>
      </c>
      <c r="N388">
        <v>4</v>
      </c>
      <c r="O388">
        <v>14</v>
      </c>
      <c r="P388" t="str">
        <f t="shared" si="12"/>
        <v>September</v>
      </c>
      <c r="Q388" t="str">
        <f t="shared" si="13"/>
        <v>Friday</v>
      </c>
      <c r="R388" t="s">
        <v>30</v>
      </c>
    </row>
    <row r="389" spans="1:18">
      <c r="A389">
        <v>2022</v>
      </c>
      <c r="B389" t="s">
        <v>46</v>
      </c>
      <c r="C389" t="s">
        <v>32</v>
      </c>
      <c r="D389" t="s">
        <v>788</v>
      </c>
      <c r="E389" s="2">
        <v>44666</v>
      </c>
      <c r="F389" s="5" t="s">
        <v>789</v>
      </c>
      <c r="G389" t="s">
        <v>27</v>
      </c>
      <c r="H389" t="s">
        <v>20</v>
      </c>
      <c r="I389" t="s">
        <v>21</v>
      </c>
      <c r="J389" t="s">
        <v>22</v>
      </c>
      <c r="K389">
        <v>37</v>
      </c>
      <c r="L389" s="7">
        <v>102</v>
      </c>
      <c r="M389">
        <v>3</v>
      </c>
      <c r="N389">
        <v>2</v>
      </c>
      <c r="O389">
        <v>38</v>
      </c>
      <c r="P389" t="str">
        <f t="shared" si="12"/>
        <v>April</v>
      </c>
      <c r="Q389" t="str">
        <f t="shared" si="13"/>
        <v>Friday</v>
      </c>
      <c r="R389" t="s">
        <v>105</v>
      </c>
    </row>
    <row r="390" spans="1:18">
      <c r="A390">
        <v>2023</v>
      </c>
      <c r="B390" t="s">
        <v>100</v>
      </c>
      <c r="C390" t="s">
        <v>32</v>
      </c>
      <c r="D390" t="s">
        <v>790</v>
      </c>
      <c r="E390" s="2">
        <v>45021</v>
      </c>
      <c r="F390" s="5" t="s">
        <v>791</v>
      </c>
      <c r="G390" t="s">
        <v>49</v>
      </c>
      <c r="H390" t="s">
        <v>67</v>
      </c>
      <c r="I390" t="s">
        <v>44</v>
      </c>
      <c r="J390" t="s">
        <v>22</v>
      </c>
      <c r="K390">
        <v>34</v>
      </c>
      <c r="L390" s="7">
        <v>97</v>
      </c>
      <c r="M390">
        <v>0</v>
      </c>
      <c r="N390">
        <v>5</v>
      </c>
      <c r="O390">
        <v>24</v>
      </c>
      <c r="P390" t="str">
        <f t="shared" si="12"/>
        <v>April</v>
      </c>
      <c r="Q390" t="str">
        <f t="shared" si="13"/>
        <v>Wednesday</v>
      </c>
      <c r="R390" t="s">
        <v>30</v>
      </c>
    </row>
    <row r="391" spans="1:18">
      <c r="A391">
        <v>2023</v>
      </c>
      <c r="B391" t="s">
        <v>172</v>
      </c>
      <c r="C391" t="s">
        <v>32</v>
      </c>
      <c r="D391" t="s">
        <v>792</v>
      </c>
      <c r="E391" s="2">
        <v>45108</v>
      </c>
      <c r="F391" s="5" t="s">
        <v>471</v>
      </c>
      <c r="G391" t="s">
        <v>35</v>
      </c>
      <c r="H391" t="s">
        <v>20</v>
      </c>
      <c r="I391" t="s">
        <v>44</v>
      </c>
      <c r="J391" t="s">
        <v>53</v>
      </c>
      <c r="K391">
        <v>23</v>
      </c>
      <c r="L391" s="7">
        <v>113</v>
      </c>
      <c r="M391">
        <v>3</v>
      </c>
      <c r="N391">
        <v>5</v>
      </c>
      <c r="O391">
        <v>11</v>
      </c>
      <c r="P391" t="str">
        <f t="shared" si="12"/>
        <v>July</v>
      </c>
      <c r="Q391" t="str">
        <f t="shared" si="13"/>
        <v>Saturday</v>
      </c>
      <c r="R391" t="s">
        <v>124</v>
      </c>
    </row>
    <row r="392" spans="1:18">
      <c r="A392">
        <v>2024</v>
      </c>
      <c r="B392" t="s">
        <v>93</v>
      </c>
      <c r="C392" t="s">
        <v>32</v>
      </c>
      <c r="D392" t="s">
        <v>793</v>
      </c>
      <c r="E392" s="2">
        <v>45579</v>
      </c>
      <c r="F392" s="5" t="s">
        <v>794</v>
      </c>
      <c r="G392" t="s">
        <v>49</v>
      </c>
      <c r="H392" t="s">
        <v>36</v>
      </c>
      <c r="I392" t="s">
        <v>44</v>
      </c>
      <c r="J392" t="s">
        <v>22</v>
      </c>
      <c r="K392">
        <v>55</v>
      </c>
      <c r="L392" s="7">
        <v>44</v>
      </c>
      <c r="M392">
        <v>3</v>
      </c>
      <c r="N392">
        <v>6</v>
      </c>
      <c r="O392">
        <v>41</v>
      </c>
      <c r="P392" t="str">
        <f t="shared" si="12"/>
        <v>October</v>
      </c>
      <c r="Q392" t="str">
        <f t="shared" si="13"/>
        <v>Monday</v>
      </c>
      <c r="R392" t="s">
        <v>14</v>
      </c>
    </row>
    <row r="393" spans="1:18">
      <c r="A393">
        <v>2023</v>
      </c>
      <c r="B393" t="s">
        <v>59</v>
      </c>
      <c r="C393" t="s">
        <v>16</v>
      </c>
      <c r="D393" t="s">
        <v>795</v>
      </c>
      <c r="E393" s="2">
        <v>45223</v>
      </c>
      <c r="F393" s="5" t="s">
        <v>796</v>
      </c>
      <c r="G393" t="s">
        <v>19</v>
      </c>
      <c r="H393" t="s">
        <v>67</v>
      </c>
      <c r="I393" t="s">
        <v>21</v>
      </c>
      <c r="J393" t="s">
        <v>53</v>
      </c>
      <c r="K393">
        <v>61</v>
      </c>
      <c r="L393" s="7">
        <v>86</v>
      </c>
      <c r="M393">
        <v>0</v>
      </c>
      <c r="N393">
        <v>1</v>
      </c>
      <c r="O393">
        <v>21</v>
      </c>
      <c r="P393" t="str">
        <f t="shared" si="12"/>
        <v>October</v>
      </c>
      <c r="Q393" t="str">
        <f t="shared" si="13"/>
        <v>Tuesday</v>
      </c>
      <c r="R393" t="s">
        <v>30</v>
      </c>
    </row>
    <row r="394" spans="1:18">
      <c r="A394">
        <v>2023</v>
      </c>
      <c r="B394" t="s">
        <v>31</v>
      </c>
      <c r="C394" t="s">
        <v>32</v>
      </c>
      <c r="D394" t="s">
        <v>797</v>
      </c>
      <c r="E394" s="2">
        <v>45210</v>
      </c>
      <c r="F394" s="5" t="s">
        <v>798</v>
      </c>
      <c r="G394" t="s">
        <v>57</v>
      </c>
      <c r="H394" t="s">
        <v>36</v>
      </c>
      <c r="I394" t="s">
        <v>44</v>
      </c>
      <c r="J394" t="s">
        <v>53</v>
      </c>
      <c r="K394">
        <v>21</v>
      </c>
      <c r="L394" s="7">
        <v>114</v>
      </c>
      <c r="M394">
        <v>5</v>
      </c>
      <c r="N394">
        <v>0</v>
      </c>
      <c r="O394">
        <v>40</v>
      </c>
      <c r="P394" t="str">
        <f t="shared" si="12"/>
        <v>October</v>
      </c>
      <c r="Q394" t="str">
        <f t="shared" si="13"/>
        <v>Wednesday</v>
      </c>
      <c r="R394" t="s">
        <v>71</v>
      </c>
    </row>
    <row r="395" spans="1:18">
      <c r="A395">
        <v>2025</v>
      </c>
      <c r="B395" t="s">
        <v>72</v>
      </c>
      <c r="C395" t="s">
        <v>16</v>
      </c>
      <c r="D395" t="s">
        <v>799</v>
      </c>
      <c r="E395" s="2">
        <v>45697</v>
      </c>
      <c r="F395" s="5" t="s">
        <v>800</v>
      </c>
      <c r="G395" t="s">
        <v>49</v>
      </c>
      <c r="H395" t="s">
        <v>20</v>
      </c>
      <c r="I395" t="s">
        <v>29</v>
      </c>
      <c r="J395" t="s">
        <v>53</v>
      </c>
      <c r="K395">
        <v>61</v>
      </c>
      <c r="L395" s="7">
        <v>88</v>
      </c>
      <c r="M395">
        <v>1</v>
      </c>
      <c r="N395">
        <v>2</v>
      </c>
      <c r="O395">
        <v>19</v>
      </c>
      <c r="P395" t="str">
        <f t="shared" si="12"/>
        <v>February</v>
      </c>
      <c r="Q395" t="str">
        <f t="shared" si="13"/>
        <v>Sunday</v>
      </c>
      <c r="R395" t="s">
        <v>68</v>
      </c>
    </row>
    <row r="396" spans="1:18">
      <c r="A396">
        <v>2022</v>
      </c>
      <c r="B396" t="s">
        <v>172</v>
      </c>
      <c r="C396" t="s">
        <v>32</v>
      </c>
      <c r="D396" t="s">
        <v>801</v>
      </c>
      <c r="E396" s="2">
        <v>44645</v>
      </c>
      <c r="F396" s="5" t="s">
        <v>802</v>
      </c>
      <c r="G396" t="s">
        <v>35</v>
      </c>
      <c r="H396" t="s">
        <v>67</v>
      </c>
      <c r="I396" t="s">
        <v>44</v>
      </c>
      <c r="J396" t="s">
        <v>53</v>
      </c>
      <c r="K396">
        <v>47</v>
      </c>
      <c r="L396" s="7">
        <v>62</v>
      </c>
      <c r="M396">
        <v>4</v>
      </c>
      <c r="N396">
        <v>1</v>
      </c>
      <c r="O396">
        <v>11</v>
      </c>
      <c r="P396" t="str">
        <f t="shared" si="12"/>
        <v>March</v>
      </c>
      <c r="Q396" t="str">
        <f t="shared" si="13"/>
        <v>Friday</v>
      </c>
      <c r="R396" t="s">
        <v>30</v>
      </c>
    </row>
    <row r="397" spans="1:18">
      <c r="A397">
        <v>2022</v>
      </c>
      <c r="B397" t="s">
        <v>88</v>
      </c>
      <c r="C397" t="s">
        <v>16</v>
      </c>
      <c r="D397" t="s">
        <v>803</v>
      </c>
      <c r="E397" s="2">
        <v>44835</v>
      </c>
      <c r="F397" s="5" t="s">
        <v>804</v>
      </c>
      <c r="G397" t="s">
        <v>27</v>
      </c>
      <c r="H397" t="s">
        <v>20</v>
      </c>
      <c r="I397" t="s">
        <v>44</v>
      </c>
      <c r="J397" t="s">
        <v>22</v>
      </c>
      <c r="K397">
        <v>52</v>
      </c>
      <c r="L397" s="7">
        <v>46</v>
      </c>
      <c r="M397">
        <v>0</v>
      </c>
      <c r="N397">
        <v>6</v>
      </c>
      <c r="O397">
        <v>45</v>
      </c>
      <c r="P397" t="str">
        <f t="shared" si="12"/>
        <v>October</v>
      </c>
      <c r="Q397" t="str">
        <f t="shared" si="13"/>
        <v>Saturday</v>
      </c>
      <c r="R397" t="s">
        <v>71</v>
      </c>
    </row>
    <row r="398" spans="1:18">
      <c r="A398">
        <v>2023</v>
      </c>
      <c r="B398" t="s">
        <v>175</v>
      </c>
      <c r="C398" t="s">
        <v>16</v>
      </c>
      <c r="D398" t="s">
        <v>805</v>
      </c>
      <c r="E398" s="2">
        <v>45051</v>
      </c>
      <c r="F398" s="5" t="s">
        <v>806</v>
      </c>
      <c r="G398" t="s">
        <v>49</v>
      </c>
      <c r="H398" t="s">
        <v>67</v>
      </c>
      <c r="I398" t="s">
        <v>29</v>
      </c>
      <c r="J398" t="s">
        <v>22</v>
      </c>
      <c r="K398">
        <v>32</v>
      </c>
      <c r="L398" s="7">
        <v>57</v>
      </c>
      <c r="M398">
        <v>3</v>
      </c>
      <c r="N398">
        <v>2</v>
      </c>
      <c r="O398">
        <v>25</v>
      </c>
      <c r="P398" t="str">
        <f t="shared" si="12"/>
        <v>May</v>
      </c>
      <c r="Q398" t="str">
        <f t="shared" si="13"/>
        <v>Friday</v>
      </c>
      <c r="R398" t="s">
        <v>58</v>
      </c>
    </row>
    <row r="399" spans="1:18">
      <c r="A399">
        <v>2024</v>
      </c>
      <c r="B399" t="s">
        <v>46</v>
      </c>
      <c r="C399" t="s">
        <v>16</v>
      </c>
      <c r="D399" t="s">
        <v>807</v>
      </c>
      <c r="E399" s="2">
        <v>45497</v>
      </c>
      <c r="F399" s="5" t="s">
        <v>808</v>
      </c>
      <c r="G399" t="s">
        <v>19</v>
      </c>
      <c r="H399" t="s">
        <v>67</v>
      </c>
      <c r="I399" t="s">
        <v>29</v>
      </c>
      <c r="J399" t="s">
        <v>22</v>
      </c>
      <c r="K399">
        <v>50</v>
      </c>
      <c r="L399" s="7">
        <v>63</v>
      </c>
      <c r="M399">
        <v>1</v>
      </c>
      <c r="N399">
        <v>6</v>
      </c>
      <c r="O399">
        <v>14</v>
      </c>
      <c r="P399" t="str">
        <f t="shared" si="12"/>
        <v>July</v>
      </c>
      <c r="Q399" t="str">
        <f t="shared" si="13"/>
        <v>Wednesday</v>
      </c>
      <c r="R399" t="s">
        <v>124</v>
      </c>
    </row>
    <row r="400" spans="1:18">
      <c r="A400">
        <v>2023</v>
      </c>
      <c r="B400" t="s">
        <v>106</v>
      </c>
      <c r="C400" t="s">
        <v>16</v>
      </c>
      <c r="D400" t="s">
        <v>809</v>
      </c>
      <c r="E400" s="2">
        <v>45090</v>
      </c>
      <c r="F400" s="5" t="s">
        <v>810</v>
      </c>
      <c r="G400" t="s">
        <v>57</v>
      </c>
      <c r="H400" t="s">
        <v>67</v>
      </c>
      <c r="I400" t="s">
        <v>29</v>
      </c>
      <c r="J400" t="s">
        <v>22</v>
      </c>
      <c r="K400">
        <v>31</v>
      </c>
      <c r="L400" s="7">
        <v>55</v>
      </c>
      <c r="M400">
        <v>2</v>
      </c>
      <c r="N400">
        <v>0</v>
      </c>
      <c r="O400">
        <v>28</v>
      </c>
      <c r="P400" t="str">
        <f t="shared" si="12"/>
        <v>June</v>
      </c>
      <c r="Q400" t="str">
        <f t="shared" si="13"/>
        <v>Tuesday</v>
      </c>
      <c r="R400" t="s">
        <v>14</v>
      </c>
    </row>
    <row r="401" spans="1:18">
      <c r="A401">
        <v>2025</v>
      </c>
      <c r="B401" t="s">
        <v>136</v>
      </c>
      <c r="C401" t="s">
        <v>16</v>
      </c>
      <c r="D401" t="s">
        <v>811</v>
      </c>
      <c r="E401" s="2">
        <v>46005</v>
      </c>
      <c r="F401" s="5" t="s">
        <v>812</v>
      </c>
      <c r="G401" t="s">
        <v>57</v>
      </c>
      <c r="H401" t="s">
        <v>36</v>
      </c>
      <c r="I401" t="s">
        <v>44</v>
      </c>
      <c r="J401" t="s">
        <v>22</v>
      </c>
      <c r="K401">
        <v>20</v>
      </c>
      <c r="L401" s="7">
        <v>73</v>
      </c>
      <c r="M401">
        <v>5</v>
      </c>
      <c r="N401">
        <v>4</v>
      </c>
      <c r="O401">
        <v>10</v>
      </c>
      <c r="P401" t="str">
        <f t="shared" si="12"/>
        <v>December</v>
      </c>
      <c r="Q401" t="str">
        <f t="shared" si="13"/>
        <v>Sunday</v>
      </c>
      <c r="R401" t="s">
        <v>30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F62DC-3136-0A45-BC02-CDA60A2B76E5}">
  <dimension ref="A1:R47"/>
  <sheetViews>
    <sheetView topLeftCell="A37" workbookViewId="0">
      <selection activeCell="L34" sqref="L34"/>
    </sheetView>
  </sheetViews>
  <sheetFormatPr baseColWidth="10" defaultRowHeight="15"/>
  <cols>
    <col min="1" max="1" width="12" bestFit="1" customWidth="1"/>
    <col min="2" max="2" width="13.5" bestFit="1" customWidth="1"/>
    <col min="4" max="4" width="12" bestFit="1" customWidth="1"/>
    <col min="5" max="6" width="13.5" bestFit="1" customWidth="1"/>
    <col min="7" max="7" width="12" bestFit="1" customWidth="1"/>
    <col min="8" max="9" width="13.5" bestFit="1" customWidth="1"/>
    <col min="10" max="10" width="12" bestFit="1" customWidth="1"/>
    <col min="11" max="11" width="17.33203125" bestFit="1" customWidth="1"/>
    <col min="12" max="12" width="13.5" bestFit="1" customWidth="1"/>
    <col min="13" max="13" width="12" bestFit="1" customWidth="1"/>
    <col min="14" max="14" width="13.5" bestFit="1" customWidth="1"/>
    <col min="15" max="15" width="15.6640625" bestFit="1" customWidth="1"/>
    <col min="16" max="16" width="12" bestFit="1" customWidth="1"/>
    <col min="17" max="18" width="13.5" bestFit="1" customWidth="1"/>
    <col min="19" max="19" width="15.6640625" bestFit="1" customWidth="1"/>
  </cols>
  <sheetData>
    <row r="1" spans="1:17">
      <c r="F1" s="15" t="s">
        <v>817</v>
      </c>
      <c r="G1" s="16"/>
      <c r="H1" s="16"/>
      <c r="I1" s="16"/>
      <c r="J1" s="16"/>
      <c r="K1" s="16"/>
      <c r="L1" s="16"/>
      <c r="M1" s="16"/>
    </row>
    <row r="2" spans="1:17">
      <c r="F2" s="16"/>
      <c r="G2" s="16"/>
      <c r="H2" s="16"/>
      <c r="I2" s="16"/>
      <c r="J2" s="16"/>
      <c r="K2" s="16"/>
      <c r="L2" s="16"/>
      <c r="M2" s="16"/>
    </row>
    <row r="3" spans="1:17">
      <c r="F3" s="16"/>
      <c r="G3" s="16"/>
      <c r="H3" s="16"/>
      <c r="I3" s="16"/>
      <c r="J3" s="16"/>
      <c r="K3" s="16"/>
      <c r="L3" s="16"/>
      <c r="M3" s="16"/>
    </row>
    <row r="4" spans="1:17">
      <c r="F4" s="16"/>
      <c r="G4" s="16"/>
      <c r="H4" s="16"/>
      <c r="I4" s="16"/>
      <c r="J4" s="16"/>
      <c r="K4" s="16"/>
      <c r="L4" s="16"/>
      <c r="M4" s="16"/>
    </row>
    <row r="7" spans="1:17">
      <c r="A7" s="14" t="s">
        <v>831</v>
      </c>
      <c r="B7" s="14"/>
      <c r="D7" s="12" t="s">
        <v>861</v>
      </c>
      <c r="E7" s="12"/>
      <c r="F7" s="13"/>
      <c r="J7" s="14" t="s">
        <v>832</v>
      </c>
      <c r="K7" s="14"/>
    </row>
    <row r="9" spans="1:17">
      <c r="A9" s="8" t="s">
        <v>819</v>
      </c>
      <c r="B9" t="s">
        <v>818</v>
      </c>
      <c r="D9" s="8" t="s">
        <v>819</v>
      </c>
      <c r="E9" t="s">
        <v>821</v>
      </c>
      <c r="F9" t="s">
        <v>860</v>
      </c>
      <c r="J9" s="8" t="s">
        <v>819</v>
      </c>
      <c r="K9" t="s">
        <v>818</v>
      </c>
      <c r="M9" s="14" t="s">
        <v>834</v>
      </c>
      <c r="N9" s="14"/>
      <c r="P9" s="14" t="s">
        <v>835</v>
      </c>
      <c r="Q9" s="14"/>
    </row>
    <row r="10" spans="1:17">
      <c r="A10" s="9" t="s">
        <v>105</v>
      </c>
      <c r="B10" s="17">
        <v>75</v>
      </c>
      <c r="D10" s="9" t="s">
        <v>57</v>
      </c>
      <c r="E10" s="17">
        <v>83</v>
      </c>
      <c r="F10" s="17">
        <v>265</v>
      </c>
      <c r="J10" s="10" t="s">
        <v>823</v>
      </c>
      <c r="K10" s="17">
        <v>243</v>
      </c>
    </row>
    <row r="11" spans="1:17">
      <c r="A11" s="9" t="s">
        <v>23</v>
      </c>
      <c r="B11" s="17">
        <v>101</v>
      </c>
      <c r="D11" s="9" t="s">
        <v>19</v>
      </c>
      <c r="E11" s="17">
        <v>88</v>
      </c>
      <c r="F11" s="17">
        <v>282</v>
      </c>
      <c r="J11" s="10" t="s">
        <v>824</v>
      </c>
      <c r="K11" s="17">
        <v>232</v>
      </c>
      <c r="M11" s="8" t="s">
        <v>819</v>
      </c>
      <c r="N11" t="s">
        <v>818</v>
      </c>
      <c r="P11" s="8" t="s">
        <v>819</v>
      </c>
      <c r="Q11" t="s">
        <v>818</v>
      </c>
    </row>
    <row r="12" spans="1:17">
      <c r="A12" s="9" t="s">
        <v>45</v>
      </c>
      <c r="B12" s="17">
        <v>104</v>
      </c>
      <c r="D12" s="9" t="s">
        <v>49</v>
      </c>
      <c r="E12" s="17">
        <v>84</v>
      </c>
      <c r="F12" s="17">
        <v>265</v>
      </c>
      <c r="J12" s="10" t="s">
        <v>825</v>
      </c>
      <c r="K12" s="17">
        <v>297</v>
      </c>
      <c r="M12" s="9" t="s">
        <v>21</v>
      </c>
      <c r="N12" s="17">
        <v>265</v>
      </c>
      <c r="P12" s="9" t="s">
        <v>105</v>
      </c>
      <c r="Q12" s="17">
        <v>75</v>
      </c>
    </row>
    <row r="13" spans="1:17">
      <c r="A13" s="9" t="s">
        <v>37</v>
      </c>
      <c r="B13" s="17">
        <v>109</v>
      </c>
      <c r="D13" s="9" t="s">
        <v>35</v>
      </c>
      <c r="E13" s="17">
        <v>71</v>
      </c>
      <c r="F13" s="17">
        <v>226</v>
      </c>
      <c r="J13" s="10" t="s">
        <v>826</v>
      </c>
      <c r="K13" s="17">
        <v>191</v>
      </c>
      <c r="M13" s="9" t="s">
        <v>44</v>
      </c>
      <c r="N13" s="17">
        <v>383</v>
      </c>
      <c r="P13" s="9" t="s">
        <v>23</v>
      </c>
      <c r="Q13" s="17">
        <v>101</v>
      </c>
    </row>
    <row r="14" spans="1:17">
      <c r="A14" s="9" t="s">
        <v>124</v>
      </c>
      <c r="B14" s="17">
        <v>88</v>
      </c>
      <c r="D14" s="9" t="s">
        <v>27</v>
      </c>
      <c r="E14" s="17">
        <v>74</v>
      </c>
      <c r="F14" s="17">
        <v>229</v>
      </c>
      <c r="J14" s="10" t="s">
        <v>863</v>
      </c>
      <c r="K14" s="17">
        <v>18</v>
      </c>
      <c r="M14" s="9" t="s">
        <v>29</v>
      </c>
      <c r="N14" s="17">
        <v>333</v>
      </c>
      <c r="P14" s="9" t="s">
        <v>45</v>
      </c>
      <c r="Q14" s="17">
        <v>104</v>
      </c>
    </row>
    <row r="15" spans="1:17">
      <c r="A15" s="9" t="s">
        <v>68</v>
      </c>
      <c r="B15" s="17">
        <v>94</v>
      </c>
      <c r="D15" s="9" t="s">
        <v>820</v>
      </c>
      <c r="E15" s="17">
        <v>400</v>
      </c>
      <c r="F15" s="17">
        <v>1267</v>
      </c>
      <c r="J15" s="10" t="s">
        <v>820</v>
      </c>
      <c r="K15" s="17">
        <v>981</v>
      </c>
      <c r="M15" s="9" t="s">
        <v>820</v>
      </c>
      <c r="N15" s="17">
        <v>981</v>
      </c>
      <c r="P15" s="9" t="s">
        <v>37</v>
      </c>
      <c r="Q15" s="17">
        <v>109</v>
      </c>
    </row>
    <row r="16" spans="1:17">
      <c r="A16" s="9" t="s">
        <v>14</v>
      </c>
      <c r="B16" s="17">
        <v>94</v>
      </c>
      <c r="P16" s="9" t="s">
        <v>124</v>
      </c>
      <c r="Q16" s="17">
        <v>88</v>
      </c>
    </row>
    <row r="17" spans="1:18">
      <c r="A17" s="9" t="s">
        <v>58</v>
      </c>
      <c r="B17" s="17">
        <v>89</v>
      </c>
      <c r="P17" s="9" t="s">
        <v>68</v>
      </c>
      <c r="Q17" s="17">
        <v>94</v>
      </c>
    </row>
    <row r="18" spans="1:18">
      <c r="A18" s="9" t="s">
        <v>30</v>
      </c>
      <c r="B18" s="17">
        <v>121</v>
      </c>
      <c r="P18" s="9" t="s">
        <v>14</v>
      </c>
      <c r="Q18" s="17">
        <v>94</v>
      </c>
    </row>
    <row r="19" spans="1:18">
      <c r="A19" s="9" t="s">
        <v>71</v>
      </c>
      <c r="B19" s="17">
        <v>106</v>
      </c>
      <c r="D19" s="14" t="s">
        <v>838</v>
      </c>
      <c r="E19" s="14"/>
      <c r="G19" s="14" t="s">
        <v>833</v>
      </c>
      <c r="H19" s="14"/>
      <c r="J19" s="14" t="s">
        <v>859</v>
      </c>
      <c r="K19" s="14"/>
      <c r="P19" s="9" t="s">
        <v>58</v>
      </c>
      <c r="Q19" s="17">
        <v>89</v>
      </c>
    </row>
    <row r="20" spans="1:18">
      <c r="A20" s="9" t="s">
        <v>820</v>
      </c>
      <c r="B20" s="17">
        <v>981</v>
      </c>
      <c r="P20" s="9" t="s">
        <v>30</v>
      </c>
      <c r="Q20" s="17">
        <v>121</v>
      </c>
    </row>
    <row r="21" spans="1:18">
      <c r="D21" s="8" t="s">
        <v>819</v>
      </c>
      <c r="E21" t="s">
        <v>818</v>
      </c>
      <c r="G21" s="8" t="s">
        <v>819</v>
      </c>
      <c r="H21" t="s">
        <v>818</v>
      </c>
      <c r="J21" s="8" t="s">
        <v>819</v>
      </c>
      <c r="K21" t="s">
        <v>821</v>
      </c>
      <c r="M21" s="14" t="s">
        <v>839</v>
      </c>
      <c r="N21" s="14"/>
      <c r="P21" s="9" t="s">
        <v>71</v>
      </c>
      <c r="Q21" s="17">
        <v>106</v>
      </c>
    </row>
    <row r="22" spans="1:18">
      <c r="D22" s="9" t="s">
        <v>828</v>
      </c>
      <c r="E22" s="17">
        <v>181</v>
      </c>
      <c r="G22" s="9" t="s">
        <v>67</v>
      </c>
      <c r="H22" s="17">
        <v>258</v>
      </c>
      <c r="J22" s="9" t="s">
        <v>21</v>
      </c>
      <c r="K22" s="17">
        <v>122</v>
      </c>
      <c r="P22" s="9" t="s">
        <v>820</v>
      </c>
      <c r="Q22" s="17">
        <v>981</v>
      </c>
    </row>
    <row r="23" spans="1:18">
      <c r="D23" s="9" t="s">
        <v>837</v>
      </c>
      <c r="E23" s="17">
        <v>253</v>
      </c>
      <c r="G23" s="9" t="s">
        <v>20</v>
      </c>
      <c r="H23" s="17">
        <v>261</v>
      </c>
      <c r="J23" s="9" t="s">
        <v>44</v>
      </c>
      <c r="K23" s="17">
        <v>150</v>
      </c>
      <c r="M23" s="8" t="s">
        <v>819</v>
      </c>
      <c r="N23" t="s">
        <v>818</v>
      </c>
      <c r="P23" s="8" t="s">
        <v>819</v>
      </c>
      <c r="Q23" t="s">
        <v>818</v>
      </c>
    </row>
    <row r="24" spans="1:18">
      <c r="A24" s="14" t="s">
        <v>857</v>
      </c>
      <c r="B24" s="14"/>
      <c r="D24" s="9" t="s">
        <v>836</v>
      </c>
      <c r="E24" s="17">
        <v>547</v>
      </c>
      <c r="G24" s="9" t="s">
        <v>28</v>
      </c>
      <c r="H24" s="17">
        <v>224</v>
      </c>
      <c r="J24" s="9" t="s">
        <v>29</v>
      </c>
      <c r="K24" s="17">
        <v>128</v>
      </c>
      <c r="M24" s="9" t="s">
        <v>827</v>
      </c>
      <c r="N24" s="17">
        <v>258</v>
      </c>
      <c r="P24" s="9" t="s">
        <v>16</v>
      </c>
      <c r="Q24" s="17">
        <v>509</v>
      </c>
    </row>
    <row r="25" spans="1:18">
      <c r="D25" s="9" t="s">
        <v>820</v>
      </c>
      <c r="E25" s="17">
        <v>981</v>
      </c>
      <c r="G25" s="9" t="s">
        <v>36</v>
      </c>
      <c r="H25" s="17">
        <v>238</v>
      </c>
      <c r="J25" s="9" t="s">
        <v>820</v>
      </c>
      <c r="K25" s="17">
        <v>400</v>
      </c>
      <c r="M25" s="9" t="s">
        <v>828</v>
      </c>
      <c r="N25" s="17">
        <v>233</v>
      </c>
      <c r="P25" s="9" t="s">
        <v>32</v>
      </c>
      <c r="Q25" s="17">
        <v>472</v>
      </c>
    </row>
    <row r="26" spans="1:18">
      <c r="A26" s="8" t="s">
        <v>819</v>
      </c>
      <c r="B26" t="s">
        <v>818</v>
      </c>
      <c r="G26" s="9" t="s">
        <v>820</v>
      </c>
      <c r="H26" s="17">
        <v>981</v>
      </c>
      <c r="M26" s="9" t="s">
        <v>829</v>
      </c>
      <c r="N26" s="17">
        <v>286</v>
      </c>
      <c r="P26" s="9" t="s">
        <v>820</v>
      </c>
      <c r="Q26" s="17">
        <v>981</v>
      </c>
    </row>
    <row r="27" spans="1:18">
      <c r="A27" s="9" t="s">
        <v>840</v>
      </c>
      <c r="B27" s="17">
        <v>92</v>
      </c>
      <c r="M27" s="9" t="s">
        <v>830</v>
      </c>
      <c r="N27" s="17">
        <v>204</v>
      </c>
    </row>
    <row r="28" spans="1:18">
      <c r="A28" s="9" t="s">
        <v>841</v>
      </c>
      <c r="B28" s="17">
        <v>53</v>
      </c>
      <c r="M28" s="9" t="s">
        <v>820</v>
      </c>
      <c r="N28" s="17">
        <v>981</v>
      </c>
    </row>
    <row r="29" spans="1:18">
      <c r="A29" s="9" t="s">
        <v>842</v>
      </c>
      <c r="B29" s="17">
        <v>98</v>
      </c>
      <c r="E29" s="14" t="s">
        <v>858</v>
      </c>
      <c r="F29" s="14"/>
    </row>
    <row r="30" spans="1:18">
      <c r="A30" s="9" t="s">
        <v>843</v>
      </c>
      <c r="B30" s="17">
        <v>84</v>
      </c>
      <c r="Q30" s="8" t="s">
        <v>819</v>
      </c>
      <c r="R30" t="s">
        <v>818</v>
      </c>
    </row>
    <row r="31" spans="1:18">
      <c r="A31" s="9" t="s">
        <v>822</v>
      </c>
      <c r="B31" s="17">
        <v>110</v>
      </c>
      <c r="E31" s="8" t="s">
        <v>819</v>
      </c>
      <c r="F31" t="s">
        <v>818</v>
      </c>
      <c r="L31" s="11"/>
      <c r="Q31" s="9" t="s">
        <v>32</v>
      </c>
      <c r="R31" s="17">
        <v>472</v>
      </c>
    </row>
    <row r="32" spans="1:18">
      <c r="A32" s="9" t="s">
        <v>844</v>
      </c>
      <c r="B32" s="17">
        <v>68</v>
      </c>
      <c r="E32" s="9" t="s">
        <v>850</v>
      </c>
      <c r="F32" s="17">
        <v>125</v>
      </c>
      <c r="Q32" s="9" t="s">
        <v>820</v>
      </c>
      <c r="R32" s="17">
        <v>472</v>
      </c>
    </row>
    <row r="33" spans="1:14">
      <c r="A33" s="9" t="s">
        <v>845</v>
      </c>
      <c r="B33" s="17">
        <v>71</v>
      </c>
      <c r="E33" s="9" t="s">
        <v>851</v>
      </c>
      <c r="F33" s="17">
        <v>135</v>
      </c>
      <c r="L33" t="s">
        <v>818</v>
      </c>
      <c r="M33" t="s">
        <v>821</v>
      </c>
      <c r="N33" t="s">
        <v>860</v>
      </c>
    </row>
    <row r="34" spans="1:14">
      <c r="A34" s="9" t="s">
        <v>846</v>
      </c>
      <c r="B34" s="17">
        <v>61</v>
      </c>
      <c r="E34" s="9" t="s">
        <v>852</v>
      </c>
      <c r="F34" s="17">
        <v>134</v>
      </c>
      <c r="L34" s="17">
        <v>981</v>
      </c>
      <c r="M34" s="17">
        <v>400</v>
      </c>
      <c r="N34" s="17">
        <v>1267</v>
      </c>
    </row>
    <row r="35" spans="1:14">
      <c r="A35" s="9" t="s">
        <v>862</v>
      </c>
      <c r="B35" s="17">
        <v>81</v>
      </c>
      <c r="E35" s="9" t="s">
        <v>853</v>
      </c>
      <c r="F35" s="17">
        <v>147</v>
      </c>
    </row>
    <row r="36" spans="1:14">
      <c r="A36" s="9" t="s">
        <v>847</v>
      </c>
      <c r="B36" s="17">
        <v>103</v>
      </c>
      <c r="E36" s="9" t="s">
        <v>854</v>
      </c>
      <c r="F36" s="17">
        <v>153</v>
      </c>
    </row>
    <row r="37" spans="1:14">
      <c r="A37" s="9" t="s">
        <v>848</v>
      </c>
      <c r="B37" s="17">
        <v>68</v>
      </c>
      <c r="E37" s="9" t="s">
        <v>855</v>
      </c>
      <c r="F37" s="17">
        <v>167</v>
      </c>
    </row>
    <row r="38" spans="1:14">
      <c r="A38" s="9" t="s">
        <v>849</v>
      </c>
      <c r="B38" s="17">
        <v>92</v>
      </c>
      <c r="E38" s="9" t="s">
        <v>856</v>
      </c>
      <c r="F38" s="17">
        <v>120</v>
      </c>
    </row>
    <row r="39" spans="1:14">
      <c r="A39" s="9" t="s">
        <v>820</v>
      </c>
      <c r="B39" s="17">
        <v>981</v>
      </c>
      <c r="E39" s="9" t="s">
        <v>820</v>
      </c>
      <c r="F39" s="17">
        <v>981</v>
      </c>
      <c r="G39" s="8" t="s">
        <v>819</v>
      </c>
      <c r="H39" t="s">
        <v>818</v>
      </c>
    </row>
    <row r="40" spans="1:14">
      <c r="G40" s="9" t="s">
        <v>850</v>
      </c>
      <c r="H40" s="17">
        <v>125</v>
      </c>
    </row>
    <row r="41" spans="1:14">
      <c r="G41" s="9" t="s">
        <v>851</v>
      </c>
      <c r="H41" s="17">
        <v>135</v>
      </c>
    </row>
    <row r="42" spans="1:14">
      <c r="G42" s="9" t="s">
        <v>852</v>
      </c>
      <c r="H42" s="17">
        <v>134</v>
      </c>
    </row>
    <row r="43" spans="1:14">
      <c r="G43" s="9" t="s">
        <v>853</v>
      </c>
      <c r="H43" s="17">
        <v>147</v>
      </c>
    </row>
    <row r="44" spans="1:14">
      <c r="G44" s="9" t="s">
        <v>854</v>
      </c>
      <c r="H44" s="17">
        <v>153</v>
      </c>
    </row>
    <row r="45" spans="1:14">
      <c r="G45" s="9" t="s">
        <v>855</v>
      </c>
      <c r="H45" s="17">
        <v>167</v>
      </c>
    </row>
    <row r="46" spans="1:14">
      <c r="G46" s="9" t="s">
        <v>856</v>
      </c>
      <c r="H46" s="17">
        <v>120</v>
      </c>
    </row>
    <row r="47" spans="1:14">
      <c r="G47" s="9" t="s">
        <v>820</v>
      </c>
      <c r="H47" s="17">
        <v>981</v>
      </c>
    </row>
  </sheetData>
  <mergeCells count="11">
    <mergeCell ref="P9:Q9"/>
    <mergeCell ref="M21:N21"/>
    <mergeCell ref="A24:B24"/>
    <mergeCell ref="E29:F29"/>
    <mergeCell ref="F1:M4"/>
    <mergeCell ref="A7:B7"/>
    <mergeCell ref="J7:K7"/>
    <mergeCell ref="D19:E19"/>
    <mergeCell ref="G19:H19"/>
    <mergeCell ref="J19:K19"/>
    <mergeCell ref="M9:N9"/>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5AFCB-251E-DD49-AEE4-EA49FEA17775}">
  <dimension ref="A1"/>
  <sheetViews>
    <sheetView showGridLines="0" tabSelected="1" workbookViewId="0">
      <selection activeCell="M46" sqref="M46"/>
    </sheetView>
  </sheetViews>
  <sheetFormatPr baseColWidth="10"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Kerala_Accidents_2022_2026</vt:lpstr>
      <vt:lpstr>analysing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2026-05-05T09:28:17Z</dcterms:created>
  <dcterms:modified xsi:type="dcterms:W3CDTF">2026-05-11T03:23:24Z</dcterms:modified>
</cp:coreProperties>
</file>